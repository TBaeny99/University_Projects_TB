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\Documents\TERM3\Prescriptive\Asiignment2\"/>
    </mc:Choice>
  </mc:AlternateContent>
  <xr:revisionPtr revIDLastSave="0" documentId="13_ncr:1_{23A66A0C-2654-4ECA-96EA-26046796C05A}" xr6:coauthVersionLast="47" xr6:coauthVersionMax="47" xr10:uidLastSave="{00000000-0000-0000-0000-000000000000}"/>
  <bookViews>
    <workbookView xWindow="-108" yWindow="-108" windowWidth="23256" windowHeight="12456" xr2:uid="{F3ECC6AE-6BDA-4985-B0ED-ECD1F5212EAE}"/>
  </bookViews>
  <sheets>
    <sheet name="Data" sheetId="1" r:id="rId1"/>
    <sheet name="Current Policy" sheetId="2" r:id="rId2"/>
    <sheet name="Proposed Poli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2" i="3"/>
  <c r="D45" i="3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3"/>
  <c r="G4" i="3"/>
  <c r="G5" i="3"/>
  <c r="G6" i="3"/>
  <c r="G7" i="3"/>
  <c r="G8" i="3"/>
  <c r="I8" i="3" s="1"/>
  <c r="L8" i="3" s="1"/>
  <c r="G9" i="3"/>
  <c r="I9" i="3" s="1"/>
  <c r="L9" i="3" s="1"/>
  <c r="G10" i="3"/>
  <c r="I10" i="3" s="1"/>
  <c r="L10" i="3" s="1"/>
  <c r="G11" i="3"/>
  <c r="G12" i="3"/>
  <c r="G13" i="3"/>
  <c r="G14" i="3"/>
  <c r="G15" i="3"/>
  <c r="G16" i="3"/>
  <c r="I16" i="3" s="1"/>
  <c r="L16" i="3" s="1"/>
  <c r="G17" i="3"/>
  <c r="I17" i="3" s="1"/>
  <c r="L17" i="3" s="1"/>
  <c r="G18" i="3"/>
  <c r="I18" i="3" s="1"/>
  <c r="L18" i="3" s="1"/>
  <c r="G19" i="3"/>
  <c r="G20" i="3"/>
  <c r="G21" i="3"/>
  <c r="G22" i="3"/>
  <c r="G23" i="3"/>
  <c r="G24" i="3"/>
  <c r="I24" i="3" s="1"/>
  <c r="L24" i="3" s="1"/>
  <c r="G25" i="3"/>
  <c r="I25" i="3" s="1"/>
  <c r="L25" i="3" s="1"/>
  <c r="G26" i="3"/>
  <c r="I26" i="3" s="1"/>
  <c r="L26" i="3" s="1"/>
  <c r="G27" i="3"/>
  <c r="G28" i="3"/>
  <c r="G29" i="3"/>
  <c r="G30" i="3"/>
  <c r="G31" i="3"/>
  <c r="G32" i="3"/>
  <c r="I32" i="3" s="1"/>
  <c r="L32" i="3" s="1"/>
  <c r="G33" i="3"/>
  <c r="I33" i="3" s="1"/>
  <c r="L33" i="3" s="1"/>
  <c r="G34" i="3"/>
  <c r="I34" i="3" s="1"/>
  <c r="L34" i="3" s="1"/>
  <c r="G35" i="3"/>
  <c r="G36" i="3"/>
  <c r="G37" i="3"/>
  <c r="G38" i="3"/>
  <c r="G39" i="3"/>
  <c r="G40" i="3"/>
  <c r="I40" i="3" s="1"/>
  <c r="L40" i="3" s="1"/>
  <c r="G41" i="3"/>
  <c r="I41" i="3" s="1"/>
  <c r="L41" i="3" s="1"/>
  <c r="G42" i="3"/>
  <c r="I42" i="3" s="1"/>
  <c r="L42" i="3" s="1"/>
  <c r="G43" i="3"/>
  <c r="G44" i="3"/>
  <c r="G45" i="3"/>
  <c r="G46" i="3"/>
  <c r="G2" i="3"/>
  <c r="C2" i="3"/>
  <c r="E46" i="3"/>
  <c r="D46" i="3"/>
  <c r="C46" i="3"/>
  <c r="E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B2" i="3" l="1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I2" i="3"/>
  <c r="L2" i="3" s="1"/>
  <c r="I15" i="3"/>
  <c r="L15" i="3" s="1"/>
  <c r="I46" i="3"/>
  <c r="L46" i="3" s="1"/>
  <c r="I22" i="3"/>
  <c r="L22" i="3" s="1"/>
  <c r="I45" i="3"/>
  <c r="L45" i="3" s="1"/>
  <c r="I37" i="3"/>
  <c r="L37" i="3" s="1"/>
  <c r="I29" i="3"/>
  <c r="L29" i="3" s="1"/>
  <c r="I21" i="3"/>
  <c r="L21" i="3" s="1"/>
  <c r="I13" i="3"/>
  <c r="L13" i="3" s="1"/>
  <c r="I5" i="3"/>
  <c r="L5" i="3" s="1"/>
  <c r="I39" i="3"/>
  <c r="L39" i="3" s="1"/>
  <c r="I23" i="3"/>
  <c r="L23" i="3" s="1"/>
  <c r="I30" i="3"/>
  <c r="L30" i="3" s="1"/>
  <c r="I6" i="3"/>
  <c r="L6" i="3" s="1"/>
  <c r="I44" i="3"/>
  <c r="L44" i="3" s="1"/>
  <c r="I36" i="3"/>
  <c r="L36" i="3" s="1"/>
  <c r="I28" i="3"/>
  <c r="L28" i="3" s="1"/>
  <c r="I20" i="3"/>
  <c r="L20" i="3" s="1"/>
  <c r="I12" i="3"/>
  <c r="L12" i="3" s="1"/>
  <c r="I4" i="3"/>
  <c r="L4" i="3" s="1"/>
  <c r="I31" i="3"/>
  <c r="L31" i="3" s="1"/>
  <c r="I7" i="3"/>
  <c r="L7" i="3" s="1"/>
  <c r="I38" i="3"/>
  <c r="L38" i="3" s="1"/>
  <c r="I14" i="3"/>
  <c r="L14" i="3" s="1"/>
  <c r="I43" i="3"/>
  <c r="L43" i="3" s="1"/>
  <c r="I35" i="3"/>
  <c r="L35" i="3" s="1"/>
  <c r="I27" i="3"/>
  <c r="L27" i="3" s="1"/>
  <c r="I19" i="3"/>
  <c r="L19" i="3" s="1"/>
  <c r="I11" i="3"/>
  <c r="L11" i="3" s="1"/>
  <c r="I3" i="3"/>
  <c r="L3" i="3" s="1"/>
  <c r="K31" i="3"/>
  <c r="K10" i="3"/>
  <c r="M10" i="3" s="1"/>
  <c r="K2" i="3"/>
  <c r="M2" i="3" s="1"/>
  <c r="K32" i="3"/>
  <c r="M32" i="3" s="1"/>
  <c r="K45" i="3"/>
  <c r="K23" i="3"/>
  <c r="M23" i="3" s="1"/>
  <c r="K8" i="3"/>
  <c r="M8" i="3" s="1"/>
  <c r="K9" i="3"/>
  <c r="M9" i="3" s="1"/>
  <c r="K42" i="3"/>
  <c r="M42" i="3" s="1"/>
  <c r="K18" i="3"/>
  <c r="M18" i="3" s="1"/>
  <c r="K7" i="3"/>
  <c r="K41" i="3"/>
  <c r="M41" i="3" s="1"/>
  <c r="K17" i="3"/>
  <c r="M17" i="3" s="1"/>
  <c r="K40" i="3"/>
  <c r="M40" i="3" s="1"/>
  <c r="K16" i="3"/>
  <c r="M16" i="3" s="1"/>
  <c r="K39" i="3"/>
  <c r="K15" i="3"/>
  <c r="K33" i="3"/>
  <c r="M33" i="3" s="1"/>
  <c r="K13" i="3"/>
  <c r="M13" i="3" s="1"/>
  <c r="K22" i="3"/>
  <c r="K30" i="3"/>
  <c r="K25" i="3"/>
  <c r="M25" i="3" s="1"/>
  <c r="K5" i="3"/>
  <c r="K21" i="3"/>
  <c r="K29" i="3"/>
  <c r="K38" i="3"/>
  <c r="K26" i="3"/>
  <c r="M26" i="3" s="1"/>
  <c r="K6" i="3"/>
  <c r="K37" i="3"/>
  <c r="K46" i="3"/>
  <c r="K34" i="3"/>
  <c r="M34" i="3" s="1"/>
  <c r="K24" i="3"/>
  <c r="M24" i="3" s="1"/>
  <c r="K14" i="3"/>
  <c r="K44" i="3"/>
  <c r="K36" i="3"/>
  <c r="K28" i="3"/>
  <c r="K20" i="3"/>
  <c r="K12" i="3"/>
  <c r="K4" i="3"/>
  <c r="K43" i="3"/>
  <c r="K35" i="3"/>
  <c r="K27" i="3"/>
  <c r="K19" i="3"/>
  <c r="K11" i="3"/>
  <c r="K3" i="3"/>
  <c r="M15" i="3" l="1"/>
  <c r="M35" i="3"/>
  <c r="M43" i="3"/>
  <c r="M31" i="3"/>
  <c r="M39" i="3"/>
  <c r="M4" i="3"/>
  <c r="M5" i="3"/>
  <c r="M29" i="3"/>
  <c r="M28" i="3"/>
  <c r="M27" i="3"/>
  <c r="M44" i="3"/>
  <c r="M38" i="3"/>
  <c r="M12" i="3"/>
  <c r="M46" i="3"/>
  <c r="M20" i="3"/>
  <c r="M14" i="3"/>
  <c r="M30" i="3"/>
  <c r="M45" i="3"/>
  <c r="M6" i="3"/>
  <c r="M22" i="3"/>
  <c r="M21" i="3"/>
  <c r="M3" i="3"/>
  <c r="M37" i="3"/>
  <c r="M11" i="3"/>
  <c r="M19" i="3"/>
  <c r="M36" i="3"/>
  <c r="M7" i="3"/>
  <c r="M48" i="3" l="1"/>
  <c r="D2" i="2"/>
  <c r="E2" i="2"/>
  <c r="C2" i="2"/>
  <c r="C3" i="1"/>
  <c r="C4" i="1" s="1"/>
  <c r="C5" i="1" s="1"/>
  <c r="C6" i="1" s="1"/>
  <c r="C7" i="1" s="1"/>
  <c r="C8" i="1" s="1"/>
  <c r="C9" i="1" s="1"/>
  <c r="C10" i="1" s="1"/>
  <c r="C11" i="1" s="1"/>
  <c r="C3" i="2" l="1"/>
  <c r="E3" i="2"/>
  <c r="D3" i="2"/>
  <c r="F2" i="2"/>
  <c r="H2" i="2" s="1"/>
  <c r="B2" i="2"/>
  <c r="I2" i="2" l="1"/>
  <c r="L2" i="2" s="1"/>
  <c r="K2" i="2"/>
  <c r="J2" i="2"/>
  <c r="E4" i="2"/>
  <c r="F3" i="2"/>
  <c r="H3" i="2" s="1"/>
  <c r="D4" i="2"/>
  <c r="C4" i="2"/>
  <c r="B3" i="2"/>
  <c r="M2" i="2" l="1"/>
  <c r="J3" i="2"/>
  <c r="K3" i="2"/>
  <c r="I3" i="2"/>
  <c r="L3" i="2" s="1"/>
  <c r="D5" i="2"/>
  <c r="C5" i="2"/>
  <c r="F4" i="2"/>
  <c r="H4" i="2" s="1"/>
  <c r="E5" i="2"/>
  <c r="B4" i="2"/>
  <c r="I4" i="2" l="1"/>
  <c r="L4" i="2" s="1"/>
  <c r="K4" i="2"/>
  <c r="J4" i="2"/>
  <c r="M3" i="2"/>
  <c r="E6" i="2"/>
  <c r="B5" i="2"/>
  <c r="D6" i="2"/>
  <c r="C6" i="2"/>
  <c r="F5" i="2"/>
  <c r="H5" i="2" s="1"/>
  <c r="M4" i="2" l="1"/>
  <c r="K5" i="2"/>
  <c r="I5" i="2"/>
  <c r="L5" i="2" s="1"/>
  <c r="J5" i="2"/>
  <c r="C7" i="2"/>
  <c r="F6" i="2"/>
  <c r="H6" i="2" s="1"/>
  <c r="D7" i="2"/>
  <c r="E7" i="2"/>
  <c r="B6" i="2"/>
  <c r="J6" i="2" l="1"/>
  <c r="K6" i="2"/>
  <c r="I6" i="2"/>
  <c r="L6" i="2" s="1"/>
  <c r="M5" i="2"/>
  <c r="D8" i="2"/>
  <c r="B7" i="2"/>
  <c r="E8" i="2"/>
  <c r="C8" i="2"/>
  <c r="F7" i="2"/>
  <c r="H7" i="2" s="1"/>
  <c r="J7" i="2" l="1"/>
  <c r="K7" i="2"/>
  <c r="I7" i="2"/>
  <c r="L7" i="2" s="1"/>
  <c r="M6" i="2"/>
  <c r="E9" i="2"/>
  <c r="C9" i="2"/>
  <c r="F8" i="2"/>
  <c r="H8" i="2" s="1"/>
  <c r="B8" i="2"/>
  <c r="D9" i="2"/>
  <c r="J8" i="2" l="1"/>
  <c r="I8" i="2"/>
  <c r="L8" i="2" s="1"/>
  <c r="K8" i="2"/>
  <c r="M7" i="2"/>
  <c r="E10" i="2"/>
  <c r="D10" i="2"/>
  <c r="B9" i="2"/>
  <c r="C10" i="2"/>
  <c r="F9" i="2"/>
  <c r="H9" i="2" s="1"/>
  <c r="I9" i="2" l="1"/>
  <c r="L9" i="2" s="1"/>
  <c r="K9" i="2"/>
  <c r="J9" i="2"/>
  <c r="M8" i="2"/>
  <c r="B10" i="2"/>
  <c r="C11" i="2"/>
  <c r="F10" i="2"/>
  <c r="H10" i="2" s="1"/>
  <c r="D11" i="2"/>
  <c r="E11" i="2"/>
  <c r="M9" i="2" l="1"/>
  <c r="J10" i="2"/>
  <c r="I10" i="2"/>
  <c r="L10" i="2" s="1"/>
  <c r="K10" i="2"/>
  <c r="E12" i="2"/>
  <c r="D12" i="2"/>
  <c r="C12" i="2"/>
  <c r="F11" i="2"/>
  <c r="H11" i="2" s="1"/>
  <c r="B11" i="2"/>
  <c r="J11" i="2" l="1"/>
  <c r="K11" i="2"/>
  <c r="I11" i="2"/>
  <c r="L11" i="2" s="1"/>
  <c r="M10" i="2"/>
  <c r="B12" i="2"/>
  <c r="D13" i="2"/>
  <c r="C13" i="2"/>
  <c r="F12" i="2"/>
  <c r="H12" i="2" s="1"/>
  <c r="E13" i="2"/>
  <c r="I12" i="2" l="1"/>
  <c r="L12" i="2" s="1"/>
  <c r="K12" i="2"/>
  <c r="J12" i="2"/>
  <c r="M11" i="2"/>
  <c r="E14" i="2"/>
  <c r="D14" i="2"/>
  <c r="C14" i="2"/>
  <c r="F13" i="2"/>
  <c r="H13" i="2" s="1"/>
  <c r="B13" i="2"/>
  <c r="M12" i="2" l="1"/>
  <c r="I13" i="2"/>
  <c r="L13" i="2" s="1"/>
  <c r="K13" i="2"/>
  <c r="J13" i="2"/>
  <c r="B14" i="2"/>
  <c r="C15" i="2"/>
  <c r="F14" i="2"/>
  <c r="H14" i="2" s="1"/>
  <c r="E15" i="2"/>
  <c r="D15" i="2"/>
  <c r="K14" i="2" l="1"/>
  <c r="I14" i="2"/>
  <c r="L14" i="2" s="1"/>
  <c r="J14" i="2"/>
  <c r="M13" i="2"/>
  <c r="D16" i="2"/>
  <c r="E16" i="2"/>
  <c r="C16" i="2"/>
  <c r="F15" i="2"/>
  <c r="H15" i="2" s="1"/>
  <c r="B15" i="2"/>
  <c r="M14" i="2" l="1"/>
  <c r="K15" i="2"/>
  <c r="I15" i="2"/>
  <c r="L15" i="2" s="1"/>
  <c r="J15" i="2"/>
  <c r="B16" i="2"/>
  <c r="E17" i="2"/>
  <c r="C17" i="2"/>
  <c r="F16" i="2"/>
  <c r="H16" i="2" s="1"/>
  <c r="D17" i="2"/>
  <c r="M15" i="2" l="1"/>
  <c r="K16" i="2"/>
  <c r="I16" i="2"/>
  <c r="L16" i="2" s="1"/>
  <c r="J16" i="2"/>
  <c r="D18" i="2"/>
  <c r="C18" i="2"/>
  <c r="F17" i="2"/>
  <c r="H17" i="2" s="1"/>
  <c r="E18" i="2"/>
  <c r="B17" i="2"/>
  <c r="M16" i="2" l="1"/>
  <c r="J17" i="2"/>
  <c r="I17" i="2"/>
  <c r="L17" i="2" s="1"/>
  <c r="K17" i="2"/>
  <c r="B18" i="2"/>
  <c r="E19" i="2"/>
  <c r="C19" i="2"/>
  <c r="F18" i="2"/>
  <c r="H18" i="2" s="1"/>
  <c r="D19" i="2"/>
  <c r="J18" i="2" l="1"/>
  <c r="I18" i="2"/>
  <c r="L18" i="2" s="1"/>
  <c r="K18" i="2"/>
  <c r="D20" i="2"/>
  <c r="M17" i="2"/>
  <c r="C20" i="2"/>
  <c r="F19" i="2"/>
  <c r="H19" i="2" s="1"/>
  <c r="B19" i="2"/>
  <c r="E20" i="2"/>
  <c r="J19" i="2" l="1"/>
  <c r="E21" i="2"/>
  <c r="K19" i="2"/>
  <c r="I19" i="2"/>
  <c r="L19" i="2" s="1"/>
  <c r="M18" i="2"/>
  <c r="B20" i="2"/>
  <c r="C21" i="2"/>
  <c r="F20" i="2"/>
  <c r="H20" i="2" s="1"/>
  <c r="D21" i="2"/>
  <c r="I20" i="2" l="1"/>
  <c r="L20" i="2" s="1"/>
  <c r="K20" i="2"/>
  <c r="D22" i="2"/>
  <c r="J20" i="2"/>
  <c r="M19" i="2"/>
  <c r="C22" i="2"/>
  <c r="F21" i="2"/>
  <c r="H21" i="2" s="1"/>
  <c r="B21" i="2"/>
  <c r="E22" i="2"/>
  <c r="M20" i="2" l="1"/>
  <c r="E23" i="2"/>
  <c r="J21" i="2"/>
  <c r="I21" i="2"/>
  <c r="L21" i="2" s="1"/>
  <c r="K21" i="2"/>
  <c r="B22" i="2"/>
  <c r="C23" i="2"/>
  <c r="F22" i="2"/>
  <c r="H22" i="2" s="1"/>
  <c r="D23" i="2"/>
  <c r="I22" i="2" l="1"/>
  <c r="L22" i="2" s="1"/>
  <c r="K22" i="2"/>
  <c r="J22" i="2"/>
  <c r="M21" i="2"/>
  <c r="D24" i="2"/>
  <c r="C24" i="2"/>
  <c r="F23" i="2"/>
  <c r="H23" i="2" s="1"/>
  <c r="B23" i="2"/>
  <c r="E24" i="2"/>
  <c r="M22" i="2" l="1"/>
  <c r="J23" i="2"/>
  <c r="I23" i="2"/>
  <c r="L23" i="2" s="1"/>
  <c r="K23" i="2"/>
  <c r="E25" i="2"/>
  <c r="B24" i="2"/>
  <c r="C25" i="2"/>
  <c r="F24" i="2"/>
  <c r="H24" i="2" s="1"/>
  <c r="D25" i="2"/>
  <c r="J24" i="2" l="1"/>
  <c r="I24" i="2"/>
  <c r="L24" i="2" s="1"/>
  <c r="K24" i="2"/>
  <c r="M23" i="2"/>
  <c r="D26" i="2"/>
  <c r="B25" i="2"/>
  <c r="C26" i="2"/>
  <c r="F25" i="2"/>
  <c r="H25" i="2" s="1"/>
  <c r="E26" i="2"/>
  <c r="K25" i="2" l="1"/>
  <c r="I25" i="2"/>
  <c r="L25" i="2" s="1"/>
  <c r="J25" i="2"/>
  <c r="M24" i="2"/>
  <c r="E27" i="2"/>
  <c r="B26" i="2"/>
  <c r="C27" i="2"/>
  <c r="F26" i="2"/>
  <c r="H26" i="2" s="1"/>
  <c r="D27" i="2"/>
  <c r="M25" i="2" l="1"/>
  <c r="K26" i="2"/>
  <c r="I26" i="2"/>
  <c r="L26" i="2" s="1"/>
  <c r="J26" i="2"/>
  <c r="D28" i="2"/>
  <c r="C28" i="2"/>
  <c r="F27" i="2"/>
  <c r="H27" i="2" s="1"/>
  <c r="E28" i="2"/>
  <c r="B27" i="2"/>
  <c r="M26" i="2" l="1"/>
  <c r="E29" i="2"/>
  <c r="J27" i="2"/>
  <c r="K27" i="2"/>
  <c r="I27" i="2"/>
  <c r="L27" i="2" s="1"/>
  <c r="B28" i="2"/>
  <c r="C29" i="2"/>
  <c r="F28" i="2"/>
  <c r="H28" i="2" s="1"/>
  <c r="D29" i="2"/>
  <c r="D30" i="2" l="1"/>
  <c r="J28" i="2"/>
  <c r="K28" i="2"/>
  <c r="I28" i="2"/>
  <c r="L28" i="2" s="1"/>
  <c r="M27" i="2"/>
  <c r="C30" i="2"/>
  <c r="F29" i="2"/>
  <c r="H29" i="2" s="1"/>
  <c r="E30" i="2"/>
  <c r="B29" i="2"/>
  <c r="E31" i="2" l="1"/>
  <c r="J29" i="2"/>
  <c r="I29" i="2"/>
  <c r="L29" i="2" s="1"/>
  <c r="K29" i="2"/>
  <c r="M28" i="2"/>
  <c r="B30" i="2"/>
  <c r="D31" i="2"/>
  <c r="C31" i="2"/>
  <c r="F30" i="2"/>
  <c r="H30" i="2" s="1"/>
  <c r="K30" i="2" l="1"/>
  <c r="I30" i="2"/>
  <c r="L30" i="2" s="1"/>
  <c r="J30" i="2"/>
  <c r="M29" i="2"/>
  <c r="C32" i="2"/>
  <c r="F31" i="2"/>
  <c r="H31" i="2" s="1"/>
  <c r="E32" i="2"/>
  <c r="B31" i="2"/>
  <c r="D32" i="2"/>
  <c r="M30" i="2" l="1"/>
  <c r="I31" i="2"/>
  <c r="L31" i="2" s="1"/>
  <c r="K31" i="2"/>
  <c r="J31" i="2"/>
  <c r="E33" i="2"/>
  <c r="D33" i="2"/>
  <c r="B32" i="2"/>
  <c r="C33" i="2"/>
  <c r="F32" i="2"/>
  <c r="H32" i="2" s="1"/>
  <c r="M31" i="2" l="1"/>
  <c r="I32" i="2"/>
  <c r="L32" i="2" s="1"/>
  <c r="K32" i="2"/>
  <c r="J32" i="2"/>
  <c r="D34" i="2"/>
  <c r="C34" i="2"/>
  <c r="F33" i="2"/>
  <c r="H33" i="2" s="1"/>
  <c r="B33" i="2"/>
  <c r="E34" i="2"/>
  <c r="M32" i="2" l="1"/>
  <c r="J33" i="2"/>
  <c r="I33" i="2"/>
  <c r="L33" i="2" s="1"/>
  <c r="K33" i="2"/>
  <c r="E35" i="2"/>
  <c r="B34" i="2"/>
  <c r="D35" i="2"/>
  <c r="C35" i="2"/>
  <c r="F34" i="2"/>
  <c r="H34" i="2" s="1"/>
  <c r="K34" i="2" l="1"/>
  <c r="I34" i="2"/>
  <c r="L34" i="2" s="1"/>
  <c r="E36" i="2"/>
  <c r="J34" i="2"/>
  <c r="M33" i="2"/>
  <c r="D36" i="2"/>
  <c r="C36" i="2"/>
  <c r="F35" i="2"/>
  <c r="H35" i="2" s="1"/>
  <c r="B35" i="2"/>
  <c r="M34" i="2" l="1"/>
  <c r="I35" i="2"/>
  <c r="L35" i="2" s="1"/>
  <c r="K35" i="2"/>
  <c r="J35" i="2"/>
  <c r="C37" i="2"/>
  <c r="F36" i="2"/>
  <c r="H36" i="2" s="1"/>
  <c r="B36" i="2"/>
  <c r="D37" i="2"/>
  <c r="E37" i="2"/>
  <c r="M35" i="2" l="1"/>
  <c r="I36" i="2"/>
  <c r="L36" i="2" s="1"/>
  <c r="K36" i="2"/>
  <c r="J36" i="2"/>
  <c r="E38" i="2"/>
  <c r="D38" i="2"/>
  <c r="B37" i="2"/>
  <c r="C38" i="2"/>
  <c r="F37" i="2"/>
  <c r="H37" i="2" s="1"/>
  <c r="I37" i="2" l="1"/>
  <c r="L37" i="2" s="1"/>
  <c r="K37" i="2"/>
  <c r="J37" i="2"/>
  <c r="M36" i="2"/>
  <c r="C39" i="2"/>
  <c r="F38" i="2"/>
  <c r="H38" i="2" s="1"/>
  <c r="B38" i="2"/>
  <c r="D39" i="2"/>
  <c r="E39" i="2"/>
  <c r="M37" i="2" l="1"/>
  <c r="K38" i="2"/>
  <c r="I38" i="2"/>
  <c r="L38" i="2" s="1"/>
  <c r="J38" i="2"/>
  <c r="D40" i="2"/>
  <c r="E40" i="2"/>
  <c r="B39" i="2"/>
  <c r="C40" i="2"/>
  <c r="F39" i="2"/>
  <c r="H39" i="2" s="1"/>
  <c r="K39" i="2" l="1"/>
  <c r="I39" i="2"/>
  <c r="L39" i="2" s="1"/>
  <c r="M38" i="2"/>
  <c r="J39" i="2"/>
  <c r="C41" i="2"/>
  <c r="F40" i="2"/>
  <c r="H40" i="2" s="1"/>
  <c r="E41" i="2"/>
  <c r="B40" i="2"/>
  <c r="D41" i="2"/>
  <c r="M39" i="2" l="1"/>
  <c r="J40" i="2"/>
  <c r="K40" i="2"/>
  <c r="I40" i="2"/>
  <c r="L40" i="2" s="1"/>
  <c r="D42" i="2"/>
  <c r="B41" i="2"/>
  <c r="E42" i="2"/>
  <c r="C42" i="2"/>
  <c r="F41" i="2"/>
  <c r="H41" i="2" s="1"/>
  <c r="M40" i="2" l="1"/>
  <c r="J41" i="2"/>
  <c r="K41" i="2"/>
  <c r="I41" i="2"/>
  <c r="L41" i="2" s="1"/>
  <c r="C43" i="2"/>
  <c r="F42" i="2"/>
  <c r="H42" i="2" s="1"/>
  <c r="B42" i="2"/>
  <c r="E43" i="2"/>
  <c r="D43" i="2"/>
  <c r="M41" i="2" l="1"/>
  <c r="J42" i="2"/>
  <c r="I42" i="2"/>
  <c r="L42" i="2" s="1"/>
  <c r="K42" i="2"/>
  <c r="E44" i="2"/>
  <c r="D44" i="2"/>
  <c r="B43" i="2"/>
  <c r="C44" i="2"/>
  <c r="F43" i="2"/>
  <c r="H43" i="2" s="1"/>
  <c r="I43" i="2" l="1"/>
  <c r="L43" i="2" s="1"/>
  <c r="K43" i="2"/>
  <c r="J43" i="2"/>
  <c r="M42" i="2"/>
  <c r="C45" i="2"/>
  <c r="F44" i="2"/>
  <c r="H44" i="2" s="1"/>
  <c r="E45" i="2"/>
  <c r="B44" i="2"/>
  <c r="D45" i="2"/>
  <c r="J44" i="2" l="1"/>
  <c r="K44" i="2"/>
  <c r="I44" i="2"/>
  <c r="L44" i="2" s="1"/>
  <c r="M43" i="2"/>
  <c r="D46" i="2"/>
  <c r="B45" i="2"/>
  <c r="E46" i="2"/>
  <c r="C46" i="2"/>
  <c r="F45" i="2"/>
  <c r="H45" i="2" s="1"/>
  <c r="M44" i="2" l="1"/>
  <c r="J45" i="2"/>
  <c r="I45" i="2"/>
  <c r="L45" i="2" s="1"/>
  <c r="K45" i="2"/>
  <c r="F46" i="2"/>
  <c r="H46" i="2" s="1"/>
  <c r="B46" i="2"/>
  <c r="J46" i="2" l="1"/>
  <c r="K46" i="2"/>
  <c r="M45" i="2"/>
  <c r="I46" i="2" l="1"/>
  <c r="L46" i="2" s="1"/>
  <c r="M46" i="2" s="1"/>
  <c r="M48" i="2" s="1"/>
</calcChain>
</file>

<file path=xl/sharedStrings.xml><?xml version="1.0" encoding="utf-8"?>
<sst xmlns="http://schemas.openxmlformats.org/spreadsheetml/2006/main" count="41" uniqueCount="23">
  <si>
    <t>Life (hrs)</t>
  </si>
  <si>
    <t>Probability</t>
  </si>
  <si>
    <t>Cumulative</t>
  </si>
  <si>
    <t>Arrival (min)</t>
  </si>
  <si>
    <t>Trial #</t>
  </si>
  <si>
    <t>Fan A Life (hrs)</t>
  </si>
  <si>
    <t>Fan B Life (hrs)</t>
  </si>
  <si>
    <t>Fan C Life (hrs)</t>
  </si>
  <si>
    <t>Fan Quantity</t>
  </si>
  <si>
    <t>Repair time (min)</t>
  </si>
  <si>
    <t>Repair Time (min)</t>
  </si>
  <si>
    <t>Downtime (min)</t>
  </si>
  <si>
    <t>Fan Cost</t>
  </si>
  <si>
    <t>Tech Cost</t>
  </si>
  <si>
    <t>Downtime Cost</t>
  </si>
  <si>
    <t>Total Cost</t>
  </si>
  <si>
    <t>Downtime Cost per min</t>
  </si>
  <si>
    <t>Tech Cost per hour</t>
  </si>
  <si>
    <t>Average Total Cost</t>
  </si>
  <si>
    <t>Failure Time</t>
  </si>
  <si>
    <t>Fans Replaced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</si>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</sst>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4" xfId="0" applyBorder="1"/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9" xfId="0" applyFill="1" applyBorder="1"/>
    <xf numFmtId="164" fontId="0" fillId="0" borderId="6" xfId="0" applyNumberFormat="1" applyBorder="1"/>
    <xf numFmtId="0" fontId="0" fillId="5" borderId="2" xfId="0" applyFill="1" applyBorder="1"/>
    <xf numFmtId="164" fontId="0" fillId="5" borderId="3" xfId="0" applyNumberFormat="1" applyFill="1" applyBorder="1"/>
    <xf numFmtId="0" fontId="0" fillId="5" borderId="7" xfId="0" applyFill="1" applyBorder="1"/>
    <xf numFmtId="164" fontId="0" fillId="5" borderId="9" xfId="0" applyNumberForma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3" tint="0.89999084444715716"/>
        </patternFill>
      </fill>
    </dxf>
    <dxf>
      <numFmt numFmtId="164" formatCode="_-[$$-1009]* #,##0.00_-;\-[$$-1009]* #,##0.00_-;_-[$$-1009]* &quot;-&quot;??_-;_-@_-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3" tint="0.89999084444715716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9</xdr:row>
      <xdr:rowOff>15240</xdr:rowOff>
    </xdr:from>
    <xdr:to>
      <xdr:col>17</xdr:col>
      <xdr:colOff>289560</xdr:colOff>
      <xdr:row>10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BDBDC9-3284-460F-8414-CD30CA067C9C}"/>
            </a:ext>
          </a:extLst>
        </xdr:cNvPr>
        <xdr:cNvSpPr txBox="1"/>
      </xdr:nvSpPr>
      <xdr:spPr>
        <a:xfrm>
          <a:off x="12923520" y="2560320"/>
          <a:ext cx="2346960" cy="29718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600" b="1"/>
            <a:t>CURRENT</a:t>
          </a:r>
          <a:r>
            <a:rPr lang="en-CA" sz="1600" b="1" baseline="0"/>
            <a:t> POLICY</a:t>
          </a:r>
          <a:endParaRPr lang="en-CA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601980</xdr:colOff>
      <xdr:row>8</xdr:row>
      <xdr:rowOff>83820</xdr:rowOff>
    </xdr:from>
    <xdr:to>
      <xdr:col>17</xdr:col>
      <xdr:colOff>510540</xdr:colOff>
      <xdr:row>10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9CCE24-EC43-126C-0867-AE55E7A594A1}"/>
            </a:ext>
          </a:extLst>
        </xdr:cNvPr>
        <xdr:cNvSpPr txBox="1"/>
      </xdr:nvSpPr>
      <xdr:spPr>
        <a:xfrm>
          <a:off x="13037820" y="2415540"/>
          <a:ext cx="2346960" cy="29718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600" b="1"/>
            <a:t>PROPOSED</a:t>
          </a:r>
          <a:r>
            <a:rPr lang="en-CA" sz="1600" b="1" baseline="0"/>
            <a:t> POLICY</a:t>
          </a:r>
          <a:endParaRPr lang="en-CA" sz="16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89C18-EB55-44BE-AAF1-D397965D24B7}" name="Table1" displayName="Table1" ref="A1:C11" totalsRowShown="0" headerRowDxfId="59" dataDxfId="55" headerRowBorderDxfId="61" tableBorderDxfId="62" totalsRowBorderDxfId="60">
  <tableColumns count="3">
    <tableColumn id="1" xr3:uid="{16902C07-126F-40F3-A469-79DAD5F25F97}" name="Life (hrs)" dataDxfId="58"/>
    <tableColumn id="2" xr3:uid="{337D1E32-F286-44FD-BCF6-0643EFCB1139}" name="Probability" dataDxfId="57"/>
    <tableColumn id="3" xr3:uid="{0EDA4946-0461-47DE-98D4-E9FBCB437A96}" name="Cumulative" dataDxfId="56">
      <calculatedColumnFormula>C1+B2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36C36-2E6A-486E-9743-F67E585ABD2B}" name="Table2" displayName="Table2" ref="E1:G4" totalsRowShown="0" headerRowDxfId="51" dataDxfId="47" headerRowBorderDxfId="53" tableBorderDxfId="54" totalsRowBorderDxfId="52">
  <tableColumns count="3">
    <tableColumn id="1" xr3:uid="{B30B310B-5E27-4D71-A7BE-51E9A1AD76AD}" name="Arrival (min)" dataDxfId="50"/>
    <tableColumn id="2" xr3:uid="{C42D0DE9-525C-4AE0-8970-69A291781FC2}" name="Probability" dataDxfId="49"/>
    <tableColumn id="3" xr3:uid="{68A7D35E-97B4-4D93-9B28-54985E7B702C}" name="Cumulative" dataDxfId="4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D1937A-DBFA-43B1-B0DC-C05FBF1675AD}" name="Table3" displayName="Table3" ref="E6:F9" totalsRowShown="0" headerRowDxfId="43" dataDxfId="40" headerRowBorderDxfId="45" tableBorderDxfId="46" totalsRowBorderDxfId="44">
  <tableColumns count="2">
    <tableColumn id="1" xr3:uid="{2A1C6278-BB37-4863-A9DF-FCE6AB9E28AE}" name="Fan Quantity" dataDxfId="42"/>
    <tableColumn id="2" xr3:uid="{F783627B-0455-4BB4-8210-6F0A72C19795}" name="Repair time (min)" dataDxfId="4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85D6C9-7B0C-4BF9-A79E-66C74AE8183D}" name="Table4" displayName="Table4" ref="E11:F14" totalsRowShown="0" dataDxfId="34" headerRowBorderDxfId="38" tableBorderDxfId="39" totalsRowBorderDxfId="37">
  <tableColumns count="2">
    <tableColumn id="1" xr3:uid="{76D84BA4-D1C6-42CD-B9F0-30326BC7D1AA}" name="Column1" dataDxfId="36"/>
    <tableColumn id="2" xr3:uid="{57435194-9B55-465F-96B9-3A1F46965D58}" name="Column2" dataDxfId="35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5AE90-6F55-412C-BF39-615DCBF94F85}" name="Table5" displayName="Table5" ref="A1:M46" totalsRowShown="0" headerRowDxfId="17" headerRowBorderDxfId="32" tableBorderDxfId="33" totalsRowBorderDxfId="31">
  <tableColumns count="13">
    <tableColumn id="1" xr3:uid="{12D2795C-F286-4C21-A186-ED2D198E3435}" name="Trial #" dataDxfId="30"/>
    <tableColumn id="2" xr3:uid="{7A44A4E3-CB96-4CAF-8E0E-FBF03008AF5A}" name="Failure Time" dataDxfId="29">
      <calculatedColumnFormula>B1+MIN(C2:E2)</calculatedColumnFormula>
    </tableColumn>
    <tableColumn id="3" xr3:uid="{2A5A6D6A-0051-4163-9734-2F3FFAB8C702}" name="Fan A Life (hrs)" dataDxfId="28">
      <calculatedColumnFormula>IF(C1=MIN(C1:E1),_xlfn.XLOOKUP(RAND(),Data!$C$2:$C$11,Data!$A$2:$A$11,0,1,1),C1-MIN(C1:E1))</calculatedColumnFormula>
    </tableColumn>
    <tableColumn id="4" xr3:uid="{F5AD0C34-1FB5-4241-899A-E56BFA568F42}" name="Fan B Life (hrs)" dataDxfId="27">
      <calculatedColumnFormula>IF(D1=MIN(C1:E1),_xlfn.XLOOKUP(RAND(),Data!$C$2:$C$11,Data!$A$2:$A$11,0,1,1),D1-MIN(C1:E1))</calculatedColumnFormula>
    </tableColumn>
    <tableColumn id="5" xr3:uid="{44F3D4E4-C7E1-4AAC-BFEC-2D8711776EE5}" name="Fan C Life (hrs)" dataDxfId="26">
      <calculatedColumnFormula>IF(E1=MIN(C1:E1),_xlfn.XLOOKUP(RAND(),Data!$C$2:$C$11,Data!$A$2:$A$11,0,1,1),E1-MIN(C1:E1))</calculatedColumnFormula>
    </tableColumn>
    <tableColumn id="6" xr3:uid="{22D7236D-993E-4803-BA21-E2C18A999BB2}" name="Fans Replaced" dataDxfId="25">
      <calculatedColumnFormula>COUNTIF(C2:E2,MIN(C2:E2))</calculatedColumnFormula>
    </tableColumn>
    <tableColumn id="7" xr3:uid="{AF1F943E-034D-4C04-9F42-4AB3303DFB84}" name="Arrival (min)" dataDxfId="24">
      <calculatedColumnFormula>_xlfn.XLOOKUP(RAND(),Data!$G$2:$G$4,Data!$E$2:$E$4,0,1,1)</calculatedColumnFormula>
    </tableColumn>
    <tableColumn id="8" xr3:uid="{4585141B-D44E-49E7-834B-704900474131}" name="Repair Time (min)" dataDxfId="23">
      <calculatedColumnFormula>IF(F2=1,Data!$F$7,IF(F2=2,Data!$F$8,Data!$F$9))</calculatedColumnFormula>
    </tableColumn>
    <tableColumn id="9" xr3:uid="{A0D2229A-C971-42AA-8113-7050A04C7FE6}" name="Downtime (min)" dataDxfId="22">
      <calculatedColumnFormula>SUM(G2:H2)</calculatedColumnFormula>
    </tableColumn>
    <tableColumn id="10" xr3:uid="{E76D3AF7-EE85-44FF-8A03-FF0CFE5D4AF5}" name="Fan Cost" dataDxfId="21">
      <calculatedColumnFormula>F2*Data!$F$12</calculatedColumnFormula>
    </tableColumn>
    <tableColumn id="11" xr3:uid="{58D886A6-ABD6-42C6-9B71-22948D344D73}" name="Tech Cost" dataDxfId="20">
      <calculatedColumnFormula>((G2+H2)/60)*Data!$F$14</calculatedColumnFormula>
    </tableColumn>
    <tableColumn id="12" xr3:uid="{97CB184A-2824-49D0-A343-3E158E6AA7B2}" name="Downtime Cost" dataDxfId="19">
      <calculatedColumnFormula>I2*Data!$F$13</calculatedColumnFormula>
    </tableColumn>
    <tableColumn id="13" xr3:uid="{A091A3C5-E857-4600-B042-BA643C3D2182}" name="Total Cost" dataDxfId="18">
      <calculatedColumnFormula>SUM(J2:L2)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6BF249-AA14-4896-A0C9-FF9F71448177}" name="Table6" displayName="Table6" ref="A1:M46" totalsRowShown="0" headerRowDxfId="0" headerRowBorderDxfId="15" tableBorderDxfId="16" totalsRowBorderDxfId="14">
  <tableColumns count="13">
    <tableColumn id="1" xr3:uid="{504BDAB4-EE0E-4434-A4D9-F9441D45876B}" name="Trial #" dataDxfId="13"/>
    <tableColumn id="2" xr3:uid="{F1B6D94C-B843-419A-9D83-64BCADAD6E2A}" name="Failure Time" dataDxfId="12">
      <calculatedColumnFormula>B1+MIN(C2:E2)</calculatedColumnFormula>
    </tableColumn>
    <tableColumn id="3" xr3:uid="{005B5C33-7DD1-481E-8448-148F3952B077}" name="Fan A Life (hrs)" dataDxfId="11">
      <calculatedColumnFormula>_xlfn.XLOOKUP(RAND(),Data!$C$2:$C$11,Data!$A$2:$A$11,0,1,1)</calculatedColumnFormula>
    </tableColumn>
    <tableColumn id="4" xr3:uid="{94202C2F-494C-4823-86B4-87A5F1802A39}" name="Fan B Life (hrs)" dataDxfId="10">
      <calculatedColumnFormula>_xlfn.XLOOKUP(RAND(),Data!$C$2:$C$11,Data!$A$2:$A$11,0,1,1)</calculatedColumnFormula>
    </tableColumn>
    <tableColumn id="5" xr3:uid="{EBC2E4D9-8466-448D-99C8-579B700242ED}" name="Fan C Life (hrs)" dataDxfId="9">
      <calculatedColumnFormula>_xlfn.XLOOKUP(RAND(),Data!$C$2:$C$11,Data!$A$2:$A$11,0,1,1)</calculatedColumnFormula>
    </tableColumn>
    <tableColumn id="6" xr3:uid="{25B942E2-1049-4F49-AD13-ADC76EB729DD}" name="Fans Replaced" dataDxfId="8"/>
    <tableColumn id="7" xr3:uid="{E385747A-8D21-47D0-9871-2A307E8A5F9A}" name="Arrival (min)" dataDxfId="7">
      <calculatedColumnFormula>_xlfn.XLOOKUP(RAND(),Data!$G$2:$G$4,Data!$E$2:$E$4,0,1,1)</calculatedColumnFormula>
    </tableColumn>
    <tableColumn id="8" xr3:uid="{7F870E83-FFFB-4786-A3A8-8501EF367635}" name="Repair Time (min)" dataDxfId="6">
      <calculatedColumnFormula>IF(F2=1,Data!$F$7,IF(F2=2,Data!$F$8,Data!$F$9))</calculatedColumnFormula>
    </tableColumn>
    <tableColumn id="9" xr3:uid="{613BF87C-0C88-4117-A389-8736EE64906B}" name="Downtime (min)" dataDxfId="5">
      <calculatedColumnFormula>SUM(G2:H2)</calculatedColumnFormula>
    </tableColumn>
    <tableColumn id="10" xr3:uid="{269EC223-231B-4277-ACF7-796BE7D0C1C5}" name="Fan Cost" dataDxfId="4">
      <calculatedColumnFormula>F2*Data!$F$12</calculatedColumnFormula>
    </tableColumn>
    <tableColumn id="11" xr3:uid="{E4A5686A-1675-4908-829E-C592DB6200BE}" name="Tech Cost" dataDxfId="3">
      <calculatedColumnFormula>((G2+H2)/60)*Data!$F$14</calculatedColumnFormula>
    </tableColumn>
    <tableColumn id="12" xr3:uid="{F7E755DA-62F2-4AC1-9ADF-677818661587}" name="Downtime Cost" dataDxfId="2">
      <calculatedColumnFormula>I2*Data!$F$13</calculatedColumnFormula>
    </tableColumn>
    <tableColumn id="13" xr3:uid="{347D2A6D-0CE8-4427-813A-64ED8EB20703}" name="Total Cost" dataDxfId="1">
      <calculatedColumnFormula>SUM(J2:L2)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66AC-D9E5-4EF8-9833-B226F413DB6D}">
  <dimension ref="A1:G14"/>
  <sheetViews>
    <sheetView tabSelected="1" workbookViewId="0">
      <selection activeCell="G20" sqref="G20"/>
    </sheetView>
  </sheetViews>
  <sheetFormatPr defaultRowHeight="14.4" x14ac:dyDescent="0.3"/>
  <cols>
    <col min="1" max="1" width="11.77734375" customWidth="1"/>
    <col min="2" max="2" width="12.109375" customWidth="1"/>
    <col min="3" max="3" width="12.44140625" customWidth="1"/>
    <col min="4" max="4" width="11.77734375" customWidth="1"/>
    <col min="5" max="5" width="20" customWidth="1"/>
    <col min="6" max="6" width="16.44140625" customWidth="1"/>
    <col min="7" max="7" width="12.77734375" customWidth="1"/>
  </cols>
  <sheetData>
    <row r="1" spans="1:7" x14ac:dyDescent="0.3">
      <c r="A1" s="5" t="s">
        <v>0</v>
      </c>
      <c r="B1" s="6" t="s">
        <v>1</v>
      </c>
      <c r="C1" s="7" t="s">
        <v>2</v>
      </c>
      <c r="E1" s="5" t="s">
        <v>3</v>
      </c>
      <c r="F1" s="6" t="s">
        <v>1</v>
      </c>
      <c r="G1" s="7" t="s">
        <v>2</v>
      </c>
    </row>
    <row r="2" spans="1:7" x14ac:dyDescent="0.3">
      <c r="A2" s="13">
        <v>1000</v>
      </c>
      <c r="B2" s="14">
        <v>0.1</v>
      </c>
      <c r="C2" s="15">
        <v>0.1</v>
      </c>
      <c r="E2" s="19">
        <v>20</v>
      </c>
      <c r="F2" s="20">
        <v>0.6</v>
      </c>
      <c r="G2" s="21">
        <v>0.6</v>
      </c>
    </row>
    <row r="3" spans="1:7" x14ac:dyDescent="0.3">
      <c r="A3" s="13">
        <v>1100</v>
      </c>
      <c r="B3" s="14">
        <v>0.13</v>
      </c>
      <c r="C3" s="15">
        <f>C2+B3</f>
        <v>0.23</v>
      </c>
      <c r="E3" s="19">
        <v>30</v>
      </c>
      <c r="F3" s="20">
        <v>0.3</v>
      </c>
      <c r="G3" s="21">
        <v>0.89999999999999991</v>
      </c>
    </row>
    <row r="4" spans="1:7" x14ac:dyDescent="0.3">
      <c r="A4" s="13">
        <v>1200</v>
      </c>
      <c r="B4" s="14">
        <v>0.25</v>
      </c>
      <c r="C4" s="15">
        <f t="shared" ref="C4:C11" si="0">C3+B4</f>
        <v>0.48</v>
      </c>
      <c r="E4" s="22">
        <v>45</v>
      </c>
      <c r="F4" s="23">
        <v>0.1</v>
      </c>
      <c r="G4" s="24">
        <v>0.99999999999999989</v>
      </c>
    </row>
    <row r="5" spans="1:7" x14ac:dyDescent="0.3">
      <c r="A5" s="13">
        <v>1300</v>
      </c>
      <c r="B5" s="14">
        <v>0.13</v>
      </c>
      <c r="C5" s="15">
        <f t="shared" si="0"/>
        <v>0.61</v>
      </c>
    </row>
    <row r="6" spans="1:7" x14ac:dyDescent="0.3">
      <c r="A6" s="13">
        <v>1400</v>
      </c>
      <c r="B6" s="14">
        <v>0.09</v>
      </c>
      <c r="C6" s="15">
        <f t="shared" si="0"/>
        <v>0.7</v>
      </c>
      <c r="E6" s="12" t="s">
        <v>8</v>
      </c>
      <c r="F6" s="11" t="s">
        <v>9</v>
      </c>
    </row>
    <row r="7" spans="1:7" x14ac:dyDescent="0.3">
      <c r="A7" s="13">
        <v>1500</v>
      </c>
      <c r="B7" s="14">
        <v>0.12</v>
      </c>
      <c r="C7" s="15">
        <f t="shared" si="0"/>
        <v>0.82</v>
      </c>
      <c r="E7" s="25">
        <v>1</v>
      </c>
      <c r="F7" s="26">
        <v>20</v>
      </c>
    </row>
    <row r="8" spans="1:7" x14ac:dyDescent="0.3">
      <c r="A8" s="13">
        <v>1600</v>
      </c>
      <c r="B8" s="14">
        <v>0.02</v>
      </c>
      <c r="C8" s="15">
        <f t="shared" si="0"/>
        <v>0.84</v>
      </c>
      <c r="E8" s="25">
        <v>2</v>
      </c>
      <c r="F8" s="26">
        <v>30</v>
      </c>
    </row>
    <row r="9" spans="1:7" x14ac:dyDescent="0.3">
      <c r="A9" s="13">
        <v>1700</v>
      </c>
      <c r="B9" s="14">
        <v>0.06</v>
      </c>
      <c r="C9" s="15">
        <f t="shared" si="0"/>
        <v>0.89999999999999991</v>
      </c>
      <c r="E9" s="27">
        <v>3</v>
      </c>
      <c r="F9" s="28">
        <v>40</v>
      </c>
    </row>
    <row r="10" spans="1:7" x14ac:dyDescent="0.3">
      <c r="A10" s="13">
        <v>1800</v>
      </c>
      <c r="B10" s="14">
        <v>0.05</v>
      </c>
      <c r="C10" s="15">
        <f t="shared" si="0"/>
        <v>0.95</v>
      </c>
    </row>
    <row r="11" spans="1:7" x14ac:dyDescent="0.3">
      <c r="A11" s="16">
        <v>1900</v>
      </c>
      <c r="B11" s="17">
        <v>0.05</v>
      </c>
      <c r="C11" s="18">
        <f t="shared" si="0"/>
        <v>1</v>
      </c>
      <c r="E11" s="12" t="s">
        <v>21</v>
      </c>
      <c r="F11" s="29" t="s">
        <v>22</v>
      </c>
    </row>
    <row r="12" spans="1:7" x14ac:dyDescent="0.3">
      <c r="E12" s="30" t="s">
        <v>12</v>
      </c>
      <c r="F12" s="31">
        <v>32</v>
      </c>
    </row>
    <row r="13" spans="1:7" x14ac:dyDescent="0.3">
      <c r="A13" s="1"/>
      <c r="B13" s="1"/>
      <c r="C13" s="1"/>
      <c r="E13" s="30" t="s">
        <v>16</v>
      </c>
      <c r="F13" s="31">
        <v>10</v>
      </c>
    </row>
    <row r="14" spans="1:7" x14ac:dyDescent="0.3">
      <c r="E14" s="32" t="s">
        <v>17</v>
      </c>
      <c r="F14" s="33">
        <v>30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0367-D9A0-4A5D-BEBE-F1004D344133}">
  <dimension ref="A1:M48"/>
  <sheetViews>
    <sheetView workbookViewId="0">
      <pane ySplit="1" topLeftCell="A2" activePane="bottomLeft" state="frozen"/>
      <selection pane="bottomLeft" activeCell="P18" sqref="P18"/>
    </sheetView>
  </sheetViews>
  <sheetFormatPr defaultRowHeight="14.4" x14ac:dyDescent="0.3"/>
  <cols>
    <col min="2" max="2" width="13.109375" customWidth="1"/>
    <col min="3" max="4" width="14.88671875" customWidth="1"/>
    <col min="5" max="6" width="15" customWidth="1"/>
    <col min="7" max="7" width="13.21875" customWidth="1"/>
    <col min="8" max="8" width="17.6640625" customWidth="1"/>
    <col min="9" max="9" width="16.21875" customWidth="1"/>
    <col min="10" max="11" width="12.77734375" customWidth="1"/>
    <col min="12" max="12" width="15.6640625" customWidth="1"/>
    <col min="13" max="13" width="12.77734375" customWidth="1"/>
  </cols>
  <sheetData>
    <row r="1" spans="1:13" x14ac:dyDescent="0.3">
      <c r="A1" s="34" t="s">
        <v>4</v>
      </c>
      <c r="B1" s="35" t="s">
        <v>19</v>
      </c>
      <c r="C1" s="35" t="s">
        <v>5</v>
      </c>
      <c r="D1" s="35" t="s">
        <v>6</v>
      </c>
      <c r="E1" s="35" t="s">
        <v>7</v>
      </c>
      <c r="F1" s="35" t="s">
        <v>20</v>
      </c>
      <c r="G1" s="35" t="s">
        <v>3</v>
      </c>
      <c r="H1" s="35" t="s">
        <v>10</v>
      </c>
      <c r="I1" s="35" t="s">
        <v>11</v>
      </c>
      <c r="J1" s="35" t="s">
        <v>12</v>
      </c>
      <c r="K1" s="35" t="s">
        <v>13</v>
      </c>
      <c r="L1" s="35" t="s">
        <v>14</v>
      </c>
      <c r="M1" s="36" t="s">
        <v>15</v>
      </c>
    </row>
    <row r="2" spans="1:13" x14ac:dyDescent="0.3">
      <c r="A2" s="3">
        <v>1</v>
      </c>
      <c r="B2" s="2">
        <f ca="1">MIN(C2:E2)</f>
        <v>1300</v>
      </c>
      <c r="C2" s="2">
        <f ca="1">_xlfn.XLOOKUP(RAND(),Data!$C$2:$C$11,Data!$A$2:$A$11,0,1,1)</f>
        <v>1500</v>
      </c>
      <c r="D2" s="2">
        <f ca="1">_xlfn.XLOOKUP(RAND(),Data!$C$2:$C$11,Data!$A$2:$A$11,0,1,1)</f>
        <v>1300</v>
      </c>
      <c r="E2" s="2">
        <f ca="1">_xlfn.XLOOKUP(RAND(),Data!$C$2:$C$11,Data!$A$2:$A$11,0,1,1)</f>
        <v>1400</v>
      </c>
      <c r="F2" s="2">
        <f ca="1">COUNTIF(C2:E2,MIN(C2:E2))</f>
        <v>1</v>
      </c>
      <c r="G2" s="2">
        <f ca="1">_xlfn.XLOOKUP(RAND(),Data!$G$2:$G$4,Data!$E$2:$E$4,0,1,1)</f>
        <v>20</v>
      </c>
      <c r="H2" s="2">
        <f ca="1">IF(F2=1,Data!$F$7,IF(F2=2,Data!$F$8,Data!$F$9))</f>
        <v>20</v>
      </c>
      <c r="I2" s="2">
        <f ca="1">SUM(G2:H2)</f>
        <v>40</v>
      </c>
      <c r="J2" s="2">
        <f ca="1">F2*Data!$F$12</f>
        <v>32</v>
      </c>
      <c r="K2" s="2">
        <f ca="1">((G2+H2)/60)*Data!$F$14</f>
        <v>20</v>
      </c>
      <c r="L2" s="2">
        <f ca="1">I2*Data!$F$13</f>
        <v>400</v>
      </c>
      <c r="M2" s="4">
        <f ca="1">SUM(J2:L2)</f>
        <v>452</v>
      </c>
    </row>
    <row r="3" spans="1:13" x14ac:dyDescent="0.3">
      <c r="A3" s="3">
        <v>2</v>
      </c>
      <c r="B3" s="2">
        <f ca="1">B2+MIN(C3:E3)</f>
        <v>1400</v>
      </c>
      <c r="C3" s="2">
        <f ca="1">IF(C2=MIN(C2:E2),_xlfn.XLOOKUP(RAND(),Data!$C$2:$C$11,Data!$A$2:$A$11,0,1,1),C2-MIN(C2:E2))</f>
        <v>200</v>
      </c>
      <c r="D3" s="2">
        <f ca="1">IF(D2=MIN(C2:E2),_xlfn.XLOOKUP(RAND(),Data!$C$2:$C$11,Data!$A$2:$A$11,0,1,1),D2-MIN(C2:E2))</f>
        <v>1500</v>
      </c>
      <c r="E3" s="2">
        <f ca="1">IF(E2=MIN(C2:E2),_xlfn.XLOOKUP(RAND(),Data!$C$2:$C$11,Data!$A$2:$A$11,0,1,1),E2-MIN(C2:E2))</f>
        <v>100</v>
      </c>
      <c r="F3" s="2">
        <f t="shared" ref="F3:F46" ca="1" si="0">COUNTIF(C3:E3,MIN(C3:E3))</f>
        <v>1</v>
      </c>
      <c r="G3" s="2">
        <f ca="1">_xlfn.XLOOKUP(RAND(),Data!$G$2:$G$4,Data!$E$2:$E$4,0,1,1)</f>
        <v>45</v>
      </c>
      <c r="H3" s="2">
        <f ca="1">IF(F3=1,Data!$F$7,IF(F3=2,Data!$F$8,Data!$F$9))</f>
        <v>20</v>
      </c>
      <c r="I3" s="2">
        <f t="shared" ref="I3:I46" ca="1" si="1">SUM(G3:H3)</f>
        <v>65</v>
      </c>
      <c r="J3" s="2">
        <f ca="1">F3*Data!$F$12</f>
        <v>32</v>
      </c>
      <c r="K3" s="2">
        <f ca="1">((G3+H3)/60)*Data!$F$14</f>
        <v>32.5</v>
      </c>
      <c r="L3" s="2">
        <f ca="1">I3*Data!$F$13</f>
        <v>650</v>
      </c>
      <c r="M3" s="4">
        <f t="shared" ref="M3:M46" ca="1" si="2">SUM(J3:L3)</f>
        <v>714.5</v>
      </c>
    </row>
    <row r="4" spans="1:13" x14ac:dyDescent="0.3">
      <c r="A4" s="3">
        <v>3</v>
      </c>
      <c r="B4" s="2">
        <f t="shared" ref="B4:B46" ca="1" si="3">B3+MIN(C4:E4)</f>
        <v>1500</v>
      </c>
      <c r="C4" s="2">
        <f ca="1">IF(C3=MIN(C3:E3),_xlfn.XLOOKUP(RAND(),Data!$C$2:$C$11,Data!$A$2:$A$11,0,1,1),C3-MIN(C3:E3))</f>
        <v>100</v>
      </c>
      <c r="D4" s="2">
        <f ca="1">IF(D3=MIN(C3:E3),_xlfn.XLOOKUP(RAND(),Data!$C$2:$C$11,Data!$A$2:$A$11,0,1,1),D3-MIN(C3:E3))</f>
        <v>1400</v>
      </c>
      <c r="E4" s="2">
        <f ca="1">IF(E3=MIN(C3:E3),_xlfn.XLOOKUP(RAND(),Data!$C$2:$C$11,Data!$A$2:$A$11,0,1,1),E3-MIN(C3:E3))</f>
        <v>1900</v>
      </c>
      <c r="F4" s="2">
        <f t="shared" ca="1" si="0"/>
        <v>1</v>
      </c>
      <c r="G4" s="2">
        <f ca="1">_xlfn.XLOOKUP(RAND(),Data!$G$2:$G$4,Data!$E$2:$E$4,0,1,1)</f>
        <v>20</v>
      </c>
      <c r="H4" s="2">
        <f ca="1">IF(F4=1,Data!$F$7,IF(F4=2,Data!$F$8,Data!$F$9))</f>
        <v>20</v>
      </c>
      <c r="I4" s="2">
        <f t="shared" ca="1" si="1"/>
        <v>40</v>
      </c>
      <c r="J4" s="2">
        <f ca="1">F4*Data!$F$12</f>
        <v>32</v>
      </c>
      <c r="K4" s="2">
        <f ca="1">((G4+H4)/60)*Data!$F$14</f>
        <v>20</v>
      </c>
      <c r="L4" s="2">
        <f ca="1">I4*Data!$F$13</f>
        <v>400</v>
      </c>
      <c r="M4" s="4">
        <f t="shared" ca="1" si="2"/>
        <v>452</v>
      </c>
    </row>
    <row r="5" spans="1:13" x14ac:dyDescent="0.3">
      <c r="A5" s="3">
        <v>4</v>
      </c>
      <c r="B5" s="2">
        <f t="shared" ca="1" si="3"/>
        <v>2800</v>
      </c>
      <c r="C5" s="2">
        <f ca="1">IF(C4=MIN(C4:E4),_xlfn.XLOOKUP(RAND(),Data!$C$2:$C$11,Data!$A$2:$A$11,0,1,1),C4-MIN(C4:E4))</f>
        <v>1700</v>
      </c>
      <c r="D5" s="2">
        <f ca="1">IF(D4=MIN(C4:E4),_xlfn.XLOOKUP(RAND(),Data!$C$2:$C$11,Data!$A$2:$A$11,0,1,1),D4-MIN(C4:E4))</f>
        <v>1300</v>
      </c>
      <c r="E5" s="2">
        <f ca="1">IF(E4=MIN(C4:E4),_xlfn.XLOOKUP(RAND(),Data!$C$2:$C$11,Data!$A$2:$A$11,0,1,1),E4-MIN(C4:E4))</f>
        <v>1800</v>
      </c>
      <c r="F5" s="2">
        <f t="shared" ca="1" si="0"/>
        <v>1</v>
      </c>
      <c r="G5" s="2">
        <f ca="1">_xlfn.XLOOKUP(RAND(),Data!$G$2:$G$4,Data!$E$2:$E$4,0,1,1)</f>
        <v>45</v>
      </c>
      <c r="H5" s="2">
        <f ca="1">IF(F5=1,Data!$F$7,IF(F5=2,Data!$F$8,Data!$F$9))</f>
        <v>20</v>
      </c>
      <c r="I5" s="2">
        <f t="shared" ca="1" si="1"/>
        <v>65</v>
      </c>
      <c r="J5" s="2">
        <f ca="1">F5*Data!$F$12</f>
        <v>32</v>
      </c>
      <c r="K5" s="2">
        <f ca="1">((G5+H5)/60)*Data!$F$14</f>
        <v>32.5</v>
      </c>
      <c r="L5" s="2">
        <f ca="1">I5*Data!$F$13</f>
        <v>650</v>
      </c>
      <c r="M5" s="4">
        <f t="shared" ca="1" si="2"/>
        <v>714.5</v>
      </c>
    </row>
    <row r="6" spans="1:13" x14ac:dyDescent="0.3">
      <c r="A6" s="3">
        <v>5</v>
      </c>
      <c r="B6" s="2">
        <f t="shared" ca="1" si="3"/>
        <v>3200</v>
      </c>
      <c r="C6" s="2">
        <f ca="1">IF(C5=MIN(C5:E5),_xlfn.XLOOKUP(RAND(),Data!$C$2:$C$11,Data!$A$2:$A$11,0,1,1),C5-MIN(C5:E5))</f>
        <v>400</v>
      </c>
      <c r="D6" s="2">
        <f ca="1">IF(D5=MIN(C5:E5),_xlfn.XLOOKUP(RAND(),Data!$C$2:$C$11,Data!$A$2:$A$11,0,1,1),D5-MIN(C5:E5))</f>
        <v>1500</v>
      </c>
      <c r="E6" s="2">
        <f ca="1">IF(E5=MIN(C5:E5),_xlfn.XLOOKUP(RAND(),Data!$C$2:$C$11,Data!$A$2:$A$11,0,1,1),E5-MIN(C5:E5))</f>
        <v>500</v>
      </c>
      <c r="F6" s="2">
        <f t="shared" ca="1" si="0"/>
        <v>1</v>
      </c>
      <c r="G6" s="2">
        <f ca="1">_xlfn.XLOOKUP(RAND(),Data!$G$2:$G$4,Data!$E$2:$E$4,0,1,1)</f>
        <v>20</v>
      </c>
      <c r="H6" s="2">
        <f ca="1">IF(F6=1,Data!$F$7,IF(F6=2,Data!$F$8,Data!$F$9))</f>
        <v>20</v>
      </c>
      <c r="I6" s="2">
        <f t="shared" ca="1" si="1"/>
        <v>40</v>
      </c>
      <c r="J6" s="2">
        <f ca="1">F6*Data!$F$12</f>
        <v>32</v>
      </c>
      <c r="K6" s="2">
        <f ca="1">((G6+H6)/60)*Data!$F$14</f>
        <v>20</v>
      </c>
      <c r="L6" s="2">
        <f ca="1">I6*Data!$F$13</f>
        <v>400</v>
      </c>
      <c r="M6" s="4">
        <f t="shared" ca="1" si="2"/>
        <v>452</v>
      </c>
    </row>
    <row r="7" spans="1:13" x14ac:dyDescent="0.3">
      <c r="A7" s="3">
        <v>6</v>
      </c>
      <c r="B7" s="2">
        <f t="shared" ca="1" si="3"/>
        <v>3300</v>
      </c>
      <c r="C7" s="2">
        <f ca="1">IF(C6=MIN(C6:E6),_xlfn.XLOOKUP(RAND(),Data!$C$2:$C$11,Data!$A$2:$A$11,0,1,1),C6-MIN(C6:E6))</f>
        <v>1200</v>
      </c>
      <c r="D7" s="2">
        <f ca="1">IF(D6=MIN(C6:E6),_xlfn.XLOOKUP(RAND(),Data!$C$2:$C$11,Data!$A$2:$A$11,0,1,1),D6-MIN(C6:E6))</f>
        <v>1100</v>
      </c>
      <c r="E7" s="2">
        <f ca="1">IF(E6=MIN(C6:E6),_xlfn.XLOOKUP(RAND(),Data!$C$2:$C$11,Data!$A$2:$A$11,0,1,1),E6-MIN(C6:E6))</f>
        <v>100</v>
      </c>
      <c r="F7" s="2">
        <f t="shared" ca="1" si="0"/>
        <v>1</v>
      </c>
      <c r="G7" s="2">
        <f ca="1">_xlfn.XLOOKUP(RAND(),Data!$G$2:$G$4,Data!$E$2:$E$4,0,1,1)</f>
        <v>30</v>
      </c>
      <c r="H7" s="2">
        <f ca="1">IF(F7=1,Data!$F$7,IF(F7=2,Data!$F$8,Data!$F$9))</f>
        <v>20</v>
      </c>
      <c r="I7" s="2">
        <f t="shared" ca="1" si="1"/>
        <v>50</v>
      </c>
      <c r="J7" s="2">
        <f ca="1">F7*Data!$F$12</f>
        <v>32</v>
      </c>
      <c r="K7" s="2">
        <f ca="1">((G7+H7)/60)*Data!$F$14</f>
        <v>25</v>
      </c>
      <c r="L7" s="2">
        <f ca="1">I7*Data!$F$13</f>
        <v>500</v>
      </c>
      <c r="M7" s="4">
        <f t="shared" ca="1" si="2"/>
        <v>557</v>
      </c>
    </row>
    <row r="8" spans="1:13" x14ac:dyDescent="0.3">
      <c r="A8" s="3">
        <v>7</v>
      </c>
      <c r="B8" s="2">
        <f t="shared" ca="1" si="3"/>
        <v>4300</v>
      </c>
      <c r="C8" s="2">
        <f ca="1">IF(C7=MIN(C7:E7),_xlfn.XLOOKUP(RAND(),Data!$C$2:$C$11,Data!$A$2:$A$11,0,1,1),C7-MIN(C7:E7))</f>
        <v>1100</v>
      </c>
      <c r="D8" s="2">
        <f ca="1">IF(D7=MIN(C7:E7),_xlfn.XLOOKUP(RAND(),Data!$C$2:$C$11,Data!$A$2:$A$11,0,1,1),D7-MIN(C7:E7))</f>
        <v>1000</v>
      </c>
      <c r="E8" s="2">
        <f ca="1">IF(E7=MIN(C7:E7),_xlfn.XLOOKUP(RAND(),Data!$C$2:$C$11,Data!$A$2:$A$11,0,1,1),E7-MIN(C7:E7))</f>
        <v>1000</v>
      </c>
      <c r="F8" s="2">
        <f t="shared" ca="1" si="0"/>
        <v>2</v>
      </c>
      <c r="G8" s="2">
        <f ca="1">_xlfn.XLOOKUP(RAND(),Data!$G$2:$G$4,Data!$E$2:$E$4,0,1,1)</f>
        <v>30</v>
      </c>
      <c r="H8" s="2">
        <f ca="1">IF(F8=1,Data!$F$7,IF(F8=2,Data!$F$8,Data!$F$9))</f>
        <v>30</v>
      </c>
      <c r="I8" s="2">
        <f t="shared" ca="1" si="1"/>
        <v>60</v>
      </c>
      <c r="J8" s="2">
        <f ca="1">F8*Data!$F$12</f>
        <v>64</v>
      </c>
      <c r="K8" s="2">
        <f ca="1">((G8+H8)/60)*Data!$F$14</f>
        <v>30</v>
      </c>
      <c r="L8" s="2">
        <f ca="1">I8*Data!$F$13</f>
        <v>600</v>
      </c>
      <c r="M8" s="4">
        <f t="shared" ca="1" si="2"/>
        <v>694</v>
      </c>
    </row>
    <row r="9" spans="1:13" x14ac:dyDescent="0.3">
      <c r="A9" s="3">
        <v>8</v>
      </c>
      <c r="B9" s="2">
        <f t="shared" ca="1" si="3"/>
        <v>4400</v>
      </c>
      <c r="C9" s="2">
        <f ca="1">IF(C8=MIN(C8:E8),_xlfn.XLOOKUP(RAND(),Data!$C$2:$C$11,Data!$A$2:$A$11,0,1,1),C8-MIN(C8:E8))</f>
        <v>100</v>
      </c>
      <c r="D9" s="2">
        <f ca="1">IF(D8=MIN(C8:E8),_xlfn.XLOOKUP(RAND(),Data!$C$2:$C$11,Data!$A$2:$A$11,0,1,1),D8-MIN(C8:E8))</f>
        <v>1200</v>
      </c>
      <c r="E9" s="2">
        <f ca="1">IF(E8=MIN(C8:E8),_xlfn.XLOOKUP(RAND(),Data!$C$2:$C$11,Data!$A$2:$A$11,0,1,1),E8-MIN(C8:E8))</f>
        <v>1500</v>
      </c>
      <c r="F9" s="2">
        <f t="shared" ca="1" si="0"/>
        <v>1</v>
      </c>
      <c r="G9" s="2">
        <f ca="1">_xlfn.XLOOKUP(RAND(),Data!$G$2:$G$4,Data!$E$2:$E$4,0,1,1)</f>
        <v>20</v>
      </c>
      <c r="H9" s="2">
        <f ca="1">IF(F9=1,Data!$F$7,IF(F9=2,Data!$F$8,Data!$F$9))</f>
        <v>20</v>
      </c>
      <c r="I9" s="2">
        <f t="shared" ca="1" si="1"/>
        <v>40</v>
      </c>
      <c r="J9" s="2">
        <f ca="1">F9*Data!$F$12</f>
        <v>32</v>
      </c>
      <c r="K9" s="2">
        <f ca="1">((G9+H9)/60)*Data!$F$14</f>
        <v>20</v>
      </c>
      <c r="L9" s="2">
        <f ca="1">I9*Data!$F$13</f>
        <v>400</v>
      </c>
      <c r="M9" s="4">
        <f t="shared" ca="1" si="2"/>
        <v>452</v>
      </c>
    </row>
    <row r="10" spans="1:13" x14ac:dyDescent="0.3">
      <c r="A10" s="3">
        <v>9</v>
      </c>
      <c r="B10" s="2">
        <f t="shared" ca="1" si="3"/>
        <v>5500</v>
      </c>
      <c r="C10" s="2">
        <f ca="1">IF(C9=MIN(C9:E9),_xlfn.XLOOKUP(RAND(),Data!$C$2:$C$11,Data!$A$2:$A$11,0,1,1),C9-MIN(C9:E9))</f>
        <v>1900</v>
      </c>
      <c r="D10" s="2">
        <f ca="1">IF(D9=MIN(C9:E9),_xlfn.XLOOKUP(RAND(),Data!$C$2:$C$11,Data!$A$2:$A$11,0,1,1),D9-MIN(C9:E9))</f>
        <v>1100</v>
      </c>
      <c r="E10" s="2">
        <f ca="1">IF(E9=MIN(C9:E9),_xlfn.XLOOKUP(RAND(),Data!$C$2:$C$11,Data!$A$2:$A$11,0,1,1),E9-MIN(C9:E9))</f>
        <v>1400</v>
      </c>
      <c r="F10" s="2">
        <f t="shared" ca="1" si="0"/>
        <v>1</v>
      </c>
      <c r="G10" s="2">
        <f ca="1">_xlfn.XLOOKUP(RAND(),Data!$G$2:$G$4,Data!$E$2:$E$4,0,1,1)</f>
        <v>45</v>
      </c>
      <c r="H10" s="2">
        <f ca="1">IF(F10=1,Data!$F$7,IF(F10=2,Data!$F$8,Data!$F$9))</f>
        <v>20</v>
      </c>
      <c r="I10" s="2">
        <f t="shared" ca="1" si="1"/>
        <v>65</v>
      </c>
      <c r="J10" s="2">
        <f ca="1">F10*Data!$F$12</f>
        <v>32</v>
      </c>
      <c r="K10" s="2">
        <f ca="1">((G10+H10)/60)*Data!$F$14</f>
        <v>32.5</v>
      </c>
      <c r="L10" s="2">
        <f ca="1">I10*Data!$F$13</f>
        <v>650</v>
      </c>
      <c r="M10" s="4">
        <f t="shared" ca="1" si="2"/>
        <v>714.5</v>
      </c>
    </row>
    <row r="11" spans="1:13" x14ac:dyDescent="0.3">
      <c r="A11" s="3">
        <v>10</v>
      </c>
      <c r="B11" s="2">
        <f t="shared" ca="1" si="3"/>
        <v>5800</v>
      </c>
      <c r="C11" s="2">
        <f ca="1">IF(C10=MIN(C10:E10),_xlfn.XLOOKUP(RAND(),Data!$C$2:$C$11,Data!$A$2:$A$11,0,1,1),C10-MIN(C10:E10))</f>
        <v>800</v>
      </c>
      <c r="D11" s="2">
        <f ca="1">IF(D10=MIN(C10:E10),_xlfn.XLOOKUP(RAND(),Data!$C$2:$C$11,Data!$A$2:$A$11,0,1,1),D10-MIN(C10:E10))</f>
        <v>1600</v>
      </c>
      <c r="E11" s="2">
        <f ca="1">IF(E10=MIN(C10:E10),_xlfn.XLOOKUP(RAND(),Data!$C$2:$C$11,Data!$A$2:$A$11,0,1,1),E10-MIN(C10:E10))</f>
        <v>300</v>
      </c>
      <c r="F11" s="2">
        <f t="shared" ca="1" si="0"/>
        <v>1</v>
      </c>
      <c r="G11" s="2">
        <f ca="1">_xlfn.XLOOKUP(RAND(),Data!$G$2:$G$4,Data!$E$2:$E$4,0,1,1)</f>
        <v>30</v>
      </c>
      <c r="H11" s="2">
        <f ca="1">IF(F11=1,Data!$F$7,IF(F11=2,Data!$F$8,Data!$F$9))</f>
        <v>20</v>
      </c>
      <c r="I11" s="2">
        <f t="shared" ca="1" si="1"/>
        <v>50</v>
      </c>
      <c r="J11" s="2">
        <f ca="1">F11*Data!$F$12</f>
        <v>32</v>
      </c>
      <c r="K11" s="2">
        <f ca="1">((G11+H11)/60)*Data!$F$14</f>
        <v>25</v>
      </c>
      <c r="L11" s="2">
        <f ca="1">I11*Data!$F$13</f>
        <v>500</v>
      </c>
      <c r="M11" s="4">
        <f t="shared" ca="1" si="2"/>
        <v>557</v>
      </c>
    </row>
    <row r="12" spans="1:13" x14ac:dyDescent="0.3">
      <c r="A12" s="3">
        <v>11</v>
      </c>
      <c r="B12" s="2">
        <f t="shared" ca="1" si="3"/>
        <v>6300</v>
      </c>
      <c r="C12" s="2">
        <f ca="1">IF(C11=MIN(C11:E11),_xlfn.XLOOKUP(RAND(),Data!$C$2:$C$11,Data!$A$2:$A$11,0,1,1),C11-MIN(C11:E11))</f>
        <v>500</v>
      </c>
      <c r="D12" s="2">
        <f ca="1">IF(D11=MIN(C11:E11),_xlfn.XLOOKUP(RAND(),Data!$C$2:$C$11,Data!$A$2:$A$11,0,1,1),D11-MIN(C11:E11))</f>
        <v>1300</v>
      </c>
      <c r="E12" s="2">
        <f ca="1">IF(E11=MIN(C11:E11),_xlfn.XLOOKUP(RAND(),Data!$C$2:$C$11,Data!$A$2:$A$11,0,1,1),E11-MIN(C11:E11))</f>
        <v>1500</v>
      </c>
      <c r="F12" s="2">
        <f t="shared" ca="1" si="0"/>
        <v>1</v>
      </c>
      <c r="G12" s="2">
        <f ca="1">_xlfn.XLOOKUP(RAND(),Data!$G$2:$G$4,Data!$E$2:$E$4,0,1,1)</f>
        <v>20</v>
      </c>
      <c r="H12" s="2">
        <f ca="1">IF(F12=1,Data!$F$7,IF(F12=2,Data!$F$8,Data!$F$9))</f>
        <v>20</v>
      </c>
      <c r="I12" s="2">
        <f t="shared" ca="1" si="1"/>
        <v>40</v>
      </c>
      <c r="J12" s="2">
        <f ca="1">F12*Data!$F$12</f>
        <v>32</v>
      </c>
      <c r="K12" s="2">
        <f ca="1">((G12+H12)/60)*Data!$F$14</f>
        <v>20</v>
      </c>
      <c r="L12" s="2">
        <f ca="1">I12*Data!$F$13</f>
        <v>400</v>
      </c>
      <c r="M12" s="4">
        <f t="shared" ca="1" si="2"/>
        <v>452</v>
      </c>
    </row>
    <row r="13" spans="1:13" x14ac:dyDescent="0.3">
      <c r="A13" s="3">
        <v>12</v>
      </c>
      <c r="B13" s="2">
        <f t="shared" ca="1" si="3"/>
        <v>7100</v>
      </c>
      <c r="C13" s="2">
        <f ca="1">IF(C12=MIN(C12:E12),_xlfn.XLOOKUP(RAND(),Data!$C$2:$C$11,Data!$A$2:$A$11,0,1,1),C12-MIN(C12:E12))</f>
        <v>1300</v>
      </c>
      <c r="D13" s="2">
        <f ca="1">IF(D12=MIN(C12:E12),_xlfn.XLOOKUP(RAND(),Data!$C$2:$C$11,Data!$A$2:$A$11,0,1,1),D12-MIN(C12:E12))</f>
        <v>800</v>
      </c>
      <c r="E13" s="2">
        <f ca="1">IF(E12=MIN(C12:E12),_xlfn.XLOOKUP(RAND(),Data!$C$2:$C$11,Data!$A$2:$A$11,0,1,1),E12-MIN(C12:E12))</f>
        <v>1000</v>
      </c>
      <c r="F13" s="2">
        <f t="shared" ca="1" si="0"/>
        <v>1</v>
      </c>
      <c r="G13" s="2">
        <f ca="1">_xlfn.XLOOKUP(RAND(),Data!$G$2:$G$4,Data!$E$2:$E$4,0,1,1)</f>
        <v>20</v>
      </c>
      <c r="H13" s="2">
        <f ca="1">IF(F13=1,Data!$F$7,IF(F13=2,Data!$F$8,Data!$F$9))</f>
        <v>20</v>
      </c>
      <c r="I13" s="2">
        <f t="shared" ca="1" si="1"/>
        <v>40</v>
      </c>
      <c r="J13" s="2">
        <f ca="1">F13*Data!$F$12</f>
        <v>32</v>
      </c>
      <c r="K13" s="2">
        <f ca="1">((G13+H13)/60)*Data!$F$14</f>
        <v>20</v>
      </c>
      <c r="L13" s="2">
        <f ca="1">I13*Data!$F$13</f>
        <v>400</v>
      </c>
      <c r="M13" s="4">
        <f t="shared" ca="1" si="2"/>
        <v>452</v>
      </c>
    </row>
    <row r="14" spans="1:13" x14ac:dyDescent="0.3">
      <c r="A14" s="3">
        <v>13</v>
      </c>
      <c r="B14" s="2">
        <f t="shared" ca="1" si="3"/>
        <v>7300</v>
      </c>
      <c r="C14" s="2">
        <f ca="1">IF(C13=MIN(C13:E13),_xlfn.XLOOKUP(RAND(),Data!$C$2:$C$11,Data!$A$2:$A$11,0,1,1),C13-MIN(C13:E13))</f>
        <v>500</v>
      </c>
      <c r="D14" s="2">
        <f ca="1">IF(D13=MIN(C13:E13),_xlfn.XLOOKUP(RAND(),Data!$C$2:$C$11,Data!$A$2:$A$11,0,1,1),D13-MIN(C13:E13))</f>
        <v>1800</v>
      </c>
      <c r="E14" s="2">
        <f ca="1">IF(E13=MIN(C13:E13),_xlfn.XLOOKUP(RAND(),Data!$C$2:$C$11,Data!$A$2:$A$11,0,1,1),E13-MIN(C13:E13))</f>
        <v>200</v>
      </c>
      <c r="F14" s="2">
        <f t="shared" ca="1" si="0"/>
        <v>1</v>
      </c>
      <c r="G14" s="2">
        <f ca="1">_xlfn.XLOOKUP(RAND(),Data!$G$2:$G$4,Data!$E$2:$E$4,0,1,1)</f>
        <v>20</v>
      </c>
      <c r="H14" s="2">
        <f ca="1">IF(F14=1,Data!$F$7,IF(F14=2,Data!$F$8,Data!$F$9))</f>
        <v>20</v>
      </c>
      <c r="I14" s="2">
        <f t="shared" ca="1" si="1"/>
        <v>40</v>
      </c>
      <c r="J14" s="2">
        <f ca="1">F14*Data!$F$12</f>
        <v>32</v>
      </c>
      <c r="K14" s="2">
        <f ca="1">((G14+H14)/60)*Data!$F$14</f>
        <v>20</v>
      </c>
      <c r="L14" s="2">
        <f ca="1">I14*Data!$F$13</f>
        <v>400</v>
      </c>
      <c r="M14" s="4">
        <f t="shared" ca="1" si="2"/>
        <v>452</v>
      </c>
    </row>
    <row r="15" spans="1:13" x14ac:dyDescent="0.3">
      <c r="A15" s="3">
        <v>14</v>
      </c>
      <c r="B15" s="2">
        <f t="shared" ca="1" si="3"/>
        <v>7600</v>
      </c>
      <c r="C15" s="2">
        <f ca="1">IF(C14=MIN(C14:E14),_xlfn.XLOOKUP(RAND(),Data!$C$2:$C$11,Data!$A$2:$A$11,0,1,1),C14-MIN(C14:E14))</f>
        <v>300</v>
      </c>
      <c r="D15" s="2">
        <f ca="1">IF(D14=MIN(C14:E14),_xlfn.XLOOKUP(RAND(),Data!$C$2:$C$11,Data!$A$2:$A$11,0,1,1),D14-MIN(C14:E14))</f>
        <v>1600</v>
      </c>
      <c r="E15" s="2">
        <f ca="1">IF(E14=MIN(C14:E14),_xlfn.XLOOKUP(RAND(),Data!$C$2:$C$11,Data!$A$2:$A$11,0,1,1),E14-MIN(C14:E14))</f>
        <v>1100</v>
      </c>
      <c r="F15" s="2">
        <f t="shared" ca="1" si="0"/>
        <v>1</v>
      </c>
      <c r="G15" s="2">
        <f ca="1">_xlfn.XLOOKUP(RAND(),Data!$G$2:$G$4,Data!$E$2:$E$4,0,1,1)</f>
        <v>20</v>
      </c>
      <c r="H15" s="2">
        <f ca="1">IF(F15=1,Data!$F$7,IF(F15=2,Data!$F$8,Data!$F$9))</f>
        <v>20</v>
      </c>
      <c r="I15" s="2">
        <f t="shared" ca="1" si="1"/>
        <v>40</v>
      </c>
      <c r="J15" s="2">
        <f ca="1">F15*Data!$F$12</f>
        <v>32</v>
      </c>
      <c r="K15" s="2">
        <f ca="1">((G15+H15)/60)*Data!$F$14</f>
        <v>20</v>
      </c>
      <c r="L15" s="2">
        <f ca="1">I15*Data!$F$13</f>
        <v>400</v>
      </c>
      <c r="M15" s="4">
        <f t="shared" ca="1" si="2"/>
        <v>452</v>
      </c>
    </row>
    <row r="16" spans="1:13" x14ac:dyDescent="0.3">
      <c r="A16" s="3">
        <v>15</v>
      </c>
      <c r="B16" s="2">
        <f t="shared" ca="1" si="3"/>
        <v>8400</v>
      </c>
      <c r="C16" s="2">
        <f ca="1">IF(C15=MIN(C15:E15),_xlfn.XLOOKUP(RAND(),Data!$C$2:$C$11,Data!$A$2:$A$11,0,1,1),C15-MIN(C15:E15))</f>
        <v>1300</v>
      </c>
      <c r="D16" s="2">
        <f ca="1">IF(D15=MIN(C15:E15),_xlfn.XLOOKUP(RAND(),Data!$C$2:$C$11,Data!$A$2:$A$11,0,1,1),D15-MIN(C15:E15))</f>
        <v>1300</v>
      </c>
      <c r="E16" s="2">
        <f ca="1">IF(E15=MIN(C15:E15),_xlfn.XLOOKUP(RAND(),Data!$C$2:$C$11,Data!$A$2:$A$11,0,1,1),E15-MIN(C15:E15))</f>
        <v>800</v>
      </c>
      <c r="F16" s="2">
        <f t="shared" ca="1" si="0"/>
        <v>1</v>
      </c>
      <c r="G16" s="2">
        <f ca="1">_xlfn.XLOOKUP(RAND(),Data!$G$2:$G$4,Data!$E$2:$E$4,0,1,1)</f>
        <v>30</v>
      </c>
      <c r="H16" s="2">
        <f ca="1">IF(F16=1,Data!$F$7,IF(F16=2,Data!$F$8,Data!$F$9))</f>
        <v>20</v>
      </c>
      <c r="I16" s="2">
        <f t="shared" ca="1" si="1"/>
        <v>50</v>
      </c>
      <c r="J16" s="2">
        <f ca="1">F16*Data!$F$12</f>
        <v>32</v>
      </c>
      <c r="K16" s="2">
        <f ca="1">((G16+H16)/60)*Data!$F$14</f>
        <v>25</v>
      </c>
      <c r="L16" s="2">
        <f ca="1">I16*Data!$F$13</f>
        <v>500</v>
      </c>
      <c r="M16" s="4">
        <f t="shared" ca="1" si="2"/>
        <v>557</v>
      </c>
    </row>
    <row r="17" spans="1:13" x14ac:dyDescent="0.3">
      <c r="A17" s="3">
        <v>16</v>
      </c>
      <c r="B17" s="2">
        <f t="shared" ca="1" si="3"/>
        <v>8900</v>
      </c>
      <c r="C17" s="2">
        <f ca="1">IF(C16=MIN(C16:E16),_xlfn.XLOOKUP(RAND(),Data!$C$2:$C$11,Data!$A$2:$A$11,0,1,1),C16-MIN(C16:E16))</f>
        <v>500</v>
      </c>
      <c r="D17" s="2">
        <f ca="1">IF(D16=MIN(C16:E16),_xlfn.XLOOKUP(RAND(),Data!$C$2:$C$11,Data!$A$2:$A$11,0,1,1),D16-MIN(C16:E16))</f>
        <v>500</v>
      </c>
      <c r="E17" s="2">
        <f ca="1">IF(E16=MIN(C16:E16),_xlfn.XLOOKUP(RAND(),Data!$C$2:$C$11,Data!$A$2:$A$11,0,1,1),E16-MIN(C16:E16))</f>
        <v>1200</v>
      </c>
      <c r="F17" s="2">
        <f t="shared" ca="1" si="0"/>
        <v>2</v>
      </c>
      <c r="G17" s="2">
        <f ca="1">_xlfn.XLOOKUP(RAND(),Data!$G$2:$G$4,Data!$E$2:$E$4,0,1,1)</f>
        <v>30</v>
      </c>
      <c r="H17" s="2">
        <f ca="1">IF(F17=1,Data!$F$7,IF(F17=2,Data!$F$8,Data!$F$9))</f>
        <v>30</v>
      </c>
      <c r="I17" s="2">
        <f t="shared" ca="1" si="1"/>
        <v>60</v>
      </c>
      <c r="J17" s="2">
        <f ca="1">F17*Data!$F$12</f>
        <v>64</v>
      </c>
      <c r="K17" s="2">
        <f ca="1">((G17+H17)/60)*Data!$F$14</f>
        <v>30</v>
      </c>
      <c r="L17" s="2">
        <f ca="1">I17*Data!$F$13</f>
        <v>600</v>
      </c>
      <c r="M17" s="4">
        <f t="shared" ca="1" si="2"/>
        <v>694</v>
      </c>
    </row>
    <row r="18" spans="1:13" x14ac:dyDescent="0.3">
      <c r="A18" s="3">
        <v>17</v>
      </c>
      <c r="B18" s="2">
        <f t="shared" ca="1" si="3"/>
        <v>9600</v>
      </c>
      <c r="C18" s="2">
        <f ca="1">IF(C17=MIN(C17:E17),_xlfn.XLOOKUP(RAND(),Data!$C$2:$C$11,Data!$A$2:$A$11,0,1,1),C17-MIN(C17:E17))</f>
        <v>1200</v>
      </c>
      <c r="D18" s="2">
        <f ca="1">IF(D17=MIN(C17:E17),_xlfn.XLOOKUP(RAND(),Data!$C$2:$C$11,Data!$A$2:$A$11,0,1,1),D17-MIN(C17:E17))</f>
        <v>1300</v>
      </c>
      <c r="E18" s="2">
        <f ca="1">IF(E17=MIN(C17:E17),_xlfn.XLOOKUP(RAND(),Data!$C$2:$C$11,Data!$A$2:$A$11,0,1,1),E17-MIN(C17:E17))</f>
        <v>700</v>
      </c>
      <c r="F18" s="2">
        <f t="shared" ca="1" si="0"/>
        <v>1</v>
      </c>
      <c r="G18" s="2">
        <f ca="1">_xlfn.XLOOKUP(RAND(),Data!$G$2:$G$4,Data!$E$2:$E$4,0,1,1)</f>
        <v>30</v>
      </c>
      <c r="H18" s="2">
        <f ca="1">IF(F18=1,Data!$F$7,IF(F18=2,Data!$F$8,Data!$F$9))</f>
        <v>20</v>
      </c>
      <c r="I18" s="2">
        <f t="shared" ca="1" si="1"/>
        <v>50</v>
      </c>
      <c r="J18" s="2">
        <f ca="1">F18*Data!$F$12</f>
        <v>32</v>
      </c>
      <c r="K18" s="2">
        <f ca="1">((G18+H18)/60)*Data!$F$14</f>
        <v>25</v>
      </c>
      <c r="L18" s="2">
        <f ca="1">I18*Data!$F$13</f>
        <v>500</v>
      </c>
      <c r="M18" s="4">
        <f t="shared" ca="1" si="2"/>
        <v>557</v>
      </c>
    </row>
    <row r="19" spans="1:13" x14ac:dyDescent="0.3">
      <c r="A19" s="3">
        <v>18</v>
      </c>
      <c r="B19" s="2">
        <f t="shared" ca="1" si="3"/>
        <v>10100</v>
      </c>
      <c r="C19" s="2">
        <f ca="1">IF(C18=MIN(C18:E18),_xlfn.XLOOKUP(RAND(),Data!$C$2:$C$11,Data!$A$2:$A$11,0,1,1),C18-MIN(C18:E18))</f>
        <v>500</v>
      </c>
      <c r="D19" s="2">
        <f ca="1">IF(D18=MIN(C18:E18),_xlfn.XLOOKUP(RAND(),Data!$C$2:$C$11,Data!$A$2:$A$11,0,1,1),D18-MIN(C18:E18))</f>
        <v>600</v>
      </c>
      <c r="E19" s="2">
        <f ca="1">IF(E18=MIN(C18:E18),_xlfn.XLOOKUP(RAND(),Data!$C$2:$C$11,Data!$A$2:$A$11,0,1,1),E18-MIN(C18:E18))</f>
        <v>1200</v>
      </c>
      <c r="F19" s="2">
        <f t="shared" ca="1" si="0"/>
        <v>1</v>
      </c>
      <c r="G19" s="2">
        <f ca="1">_xlfn.XLOOKUP(RAND(),Data!$G$2:$G$4,Data!$E$2:$E$4,0,1,1)</f>
        <v>30</v>
      </c>
      <c r="H19" s="2">
        <f ca="1">IF(F19=1,Data!$F$7,IF(F19=2,Data!$F$8,Data!$F$9))</f>
        <v>20</v>
      </c>
      <c r="I19" s="2">
        <f t="shared" ca="1" si="1"/>
        <v>50</v>
      </c>
      <c r="J19" s="2">
        <f ca="1">F19*Data!$F$12</f>
        <v>32</v>
      </c>
      <c r="K19" s="2">
        <f ca="1">((G19+H19)/60)*Data!$F$14</f>
        <v>25</v>
      </c>
      <c r="L19" s="2">
        <f ca="1">I19*Data!$F$13</f>
        <v>500</v>
      </c>
      <c r="M19" s="4">
        <f t="shared" ca="1" si="2"/>
        <v>557</v>
      </c>
    </row>
    <row r="20" spans="1:13" x14ac:dyDescent="0.3">
      <c r="A20" s="3">
        <v>19</v>
      </c>
      <c r="B20" s="2">
        <f t="shared" ca="1" si="3"/>
        <v>10200</v>
      </c>
      <c r="C20" s="2">
        <f ca="1">IF(C19=MIN(C19:E19),_xlfn.XLOOKUP(RAND(),Data!$C$2:$C$11,Data!$A$2:$A$11,0,1,1),C19-MIN(C19:E19))</f>
        <v>1300</v>
      </c>
      <c r="D20" s="2">
        <f ca="1">IF(D19=MIN(C19:E19),_xlfn.XLOOKUP(RAND(),Data!$C$2:$C$11,Data!$A$2:$A$11,0,1,1),D19-MIN(C19:E19))</f>
        <v>100</v>
      </c>
      <c r="E20" s="2">
        <f ca="1">IF(E19=MIN(C19:E19),_xlfn.XLOOKUP(RAND(),Data!$C$2:$C$11,Data!$A$2:$A$11,0,1,1),E19-MIN(C19:E19))</f>
        <v>700</v>
      </c>
      <c r="F20" s="2">
        <f t="shared" ca="1" si="0"/>
        <v>1</v>
      </c>
      <c r="G20" s="2">
        <f ca="1">_xlfn.XLOOKUP(RAND(),Data!$G$2:$G$4,Data!$E$2:$E$4,0,1,1)</f>
        <v>20</v>
      </c>
      <c r="H20" s="2">
        <f ca="1">IF(F20=1,Data!$F$7,IF(F20=2,Data!$F$8,Data!$F$9))</f>
        <v>20</v>
      </c>
      <c r="I20" s="2">
        <f t="shared" ca="1" si="1"/>
        <v>40</v>
      </c>
      <c r="J20" s="2">
        <f ca="1">F20*Data!$F$12</f>
        <v>32</v>
      </c>
      <c r="K20" s="2">
        <f ca="1">((G20+H20)/60)*Data!$F$14</f>
        <v>20</v>
      </c>
      <c r="L20" s="2">
        <f ca="1">I20*Data!$F$13</f>
        <v>400</v>
      </c>
      <c r="M20" s="4">
        <f t="shared" ca="1" si="2"/>
        <v>452</v>
      </c>
    </row>
    <row r="21" spans="1:13" x14ac:dyDescent="0.3">
      <c r="A21" s="3">
        <v>20</v>
      </c>
      <c r="B21" s="2">
        <f t="shared" ca="1" si="3"/>
        <v>10800</v>
      </c>
      <c r="C21" s="2">
        <f ca="1">IF(C20=MIN(C20:E20),_xlfn.XLOOKUP(RAND(),Data!$C$2:$C$11,Data!$A$2:$A$11,0,1,1),C20-MIN(C20:E20))</f>
        <v>1200</v>
      </c>
      <c r="D21" s="2">
        <f ca="1">IF(D20=MIN(C20:E20),_xlfn.XLOOKUP(RAND(),Data!$C$2:$C$11,Data!$A$2:$A$11,0,1,1),D20-MIN(C20:E20))</f>
        <v>1500</v>
      </c>
      <c r="E21" s="2">
        <f ca="1">IF(E20=MIN(C20:E20),_xlfn.XLOOKUP(RAND(),Data!$C$2:$C$11,Data!$A$2:$A$11,0,1,1),E20-MIN(C20:E20))</f>
        <v>600</v>
      </c>
      <c r="F21" s="2">
        <f t="shared" ca="1" si="0"/>
        <v>1</v>
      </c>
      <c r="G21" s="2">
        <f ca="1">_xlfn.XLOOKUP(RAND(),Data!$G$2:$G$4,Data!$E$2:$E$4,0,1,1)</f>
        <v>20</v>
      </c>
      <c r="H21" s="2">
        <f ca="1">IF(F21=1,Data!$F$7,IF(F21=2,Data!$F$8,Data!$F$9))</f>
        <v>20</v>
      </c>
      <c r="I21" s="2">
        <f t="shared" ca="1" si="1"/>
        <v>40</v>
      </c>
      <c r="J21" s="2">
        <f ca="1">F21*Data!$F$12</f>
        <v>32</v>
      </c>
      <c r="K21" s="2">
        <f ca="1">((G21+H21)/60)*Data!$F$14</f>
        <v>20</v>
      </c>
      <c r="L21" s="2">
        <f ca="1">I21*Data!$F$13</f>
        <v>400</v>
      </c>
      <c r="M21" s="4">
        <f t="shared" ca="1" si="2"/>
        <v>452</v>
      </c>
    </row>
    <row r="22" spans="1:13" x14ac:dyDescent="0.3">
      <c r="A22" s="3">
        <v>21</v>
      </c>
      <c r="B22" s="2">
        <f t="shared" ca="1" si="3"/>
        <v>11400</v>
      </c>
      <c r="C22" s="2">
        <f ca="1">IF(C21=MIN(C21:E21),_xlfn.XLOOKUP(RAND(),Data!$C$2:$C$11,Data!$A$2:$A$11,0,1,1),C21-MIN(C21:E21))</f>
        <v>600</v>
      </c>
      <c r="D22" s="2">
        <f ca="1">IF(D21=MIN(C21:E21),_xlfn.XLOOKUP(RAND(),Data!$C$2:$C$11,Data!$A$2:$A$11,0,1,1),D21-MIN(C21:E21))</f>
        <v>900</v>
      </c>
      <c r="E22" s="2">
        <f ca="1">IF(E21=MIN(C21:E21),_xlfn.XLOOKUP(RAND(),Data!$C$2:$C$11,Data!$A$2:$A$11,0,1,1),E21-MIN(C21:E21))</f>
        <v>1000</v>
      </c>
      <c r="F22" s="2">
        <f t="shared" ca="1" si="0"/>
        <v>1</v>
      </c>
      <c r="G22" s="2">
        <f ca="1">_xlfn.XLOOKUP(RAND(),Data!$G$2:$G$4,Data!$E$2:$E$4,0,1,1)</f>
        <v>20</v>
      </c>
      <c r="H22" s="2">
        <f ca="1">IF(F22=1,Data!$F$7,IF(F22=2,Data!$F$8,Data!$F$9))</f>
        <v>20</v>
      </c>
      <c r="I22" s="2">
        <f t="shared" ca="1" si="1"/>
        <v>40</v>
      </c>
      <c r="J22" s="2">
        <f ca="1">F22*Data!$F$12</f>
        <v>32</v>
      </c>
      <c r="K22" s="2">
        <f ca="1">((G22+H22)/60)*Data!$F$14</f>
        <v>20</v>
      </c>
      <c r="L22" s="2">
        <f ca="1">I22*Data!$F$13</f>
        <v>400</v>
      </c>
      <c r="M22" s="4">
        <f t="shared" ca="1" si="2"/>
        <v>452</v>
      </c>
    </row>
    <row r="23" spans="1:13" x14ac:dyDescent="0.3">
      <c r="A23" s="3">
        <v>22</v>
      </c>
      <c r="B23" s="2">
        <f t="shared" ca="1" si="3"/>
        <v>11700</v>
      </c>
      <c r="C23" s="2">
        <f ca="1">IF(C22=MIN(C22:E22),_xlfn.XLOOKUP(RAND(),Data!$C$2:$C$11,Data!$A$2:$A$11,0,1,1),C22-MIN(C22:E22))</f>
        <v>1800</v>
      </c>
      <c r="D23" s="2">
        <f ca="1">IF(D22=MIN(C22:E22),_xlfn.XLOOKUP(RAND(),Data!$C$2:$C$11,Data!$A$2:$A$11,0,1,1),D22-MIN(C22:E22))</f>
        <v>300</v>
      </c>
      <c r="E23" s="2">
        <f ca="1">IF(E22=MIN(C22:E22),_xlfn.XLOOKUP(RAND(),Data!$C$2:$C$11,Data!$A$2:$A$11,0,1,1),E22-MIN(C22:E22))</f>
        <v>400</v>
      </c>
      <c r="F23" s="2">
        <f t="shared" ca="1" si="0"/>
        <v>1</v>
      </c>
      <c r="G23" s="2">
        <f ca="1">_xlfn.XLOOKUP(RAND(),Data!$G$2:$G$4,Data!$E$2:$E$4,0,1,1)</f>
        <v>20</v>
      </c>
      <c r="H23" s="2">
        <f ca="1">IF(F23=1,Data!$F$7,IF(F23=2,Data!$F$8,Data!$F$9))</f>
        <v>20</v>
      </c>
      <c r="I23" s="2">
        <f t="shared" ca="1" si="1"/>
        <v>40</v>
      </c>
      <c r="J23" s="2">
        <f ca="1">F23*Data!$F$12</f>
        <v>32</v>
      </c>
      <c r="K23" s="2">
        <f ca="1">((G23+H23)/60)*Data!$F$14</f>
        <v>20</v>
      </c>
      <c r="L23" s="2">
        <f ca="1">I23*Data!$F$13</f>
        <v>400</v>
      </c>
      <c r="M23" s="4">
        <f t="shared" ca="1" si="2"/>
        <v>452</v>
      </c>
    </row>
    <row r="24" spans="1:13" x14ac:dyDescent="0.3">
      <c r="A24" s="3">
        <v>23</v>
      </c>
      <c r="B24" s="2">
        <f t="shared" ca="1" si="3"/>
        <v>11800</v>
      </c>
      <c r="C24" s="2">
        <f ca="1">IF(C23=MIN(C23:E23),_xlfn.XLOOKUP(RAND(),Data!$C$2:$C$11,Data!$A$2:$A$11,0,1,1),C23-MIN(C23:E23))</f>
        <v>1500</v>
      </c>
      <c r="D24" s="2">
        <f ca="1">IF(D23=MIN(C23:E23),_xlfn.XLOOKUP(RAND(),Data!$C$2:$C$11,Data!$A$2:$A$11,0,1,1),D23-MIN(C23:E23))</f>
        <v>1200</v>
      </c>
      <c r="E24" s="2">
        <f ca="1">IF(E23=MIN(C23:E23),_xlfn.XLOOKUP(RAND(),Data!$C$2:$C$11,Data!$A$2:$A$11,0,1,1),E23-MIN(C23:E23))</f>
        <v>100</v>
      </c>
      <c r="F24" s="2">
        <f t="shared" ca="1" si="0"/>
        <v>1</v>
      </c>
      <c r="G24" s="2">
        <f ca="1">_xlfn.XLOOKUP(RAND(),Data!$G$2:$G$4,Data!$E$2:$E$4,0,1,1)</f>
        <v>30</v>
      </c>
      <c r="H24" s="2">
        <f ca="1">IF(F24=1,Data!$F$7,IF(F24=2,Data!$F$8,Data!$F$9))</f>
        <v>20</v>
      </c>
      <c r="I24" s="2">
        <f t="shared" ca="1" si="1"/>
        <v>50</v>
      </c>
      <c r="J24" s="2">
        <f ca="1">F24*Data!$F$12</f>
        <v>32</v>
      </c>
      <c r="K24" s="2">
        <f ca="1">((G24+H24)/60)*Data!$F$14</f>
        <v>25</v>
      </c>
      <c r="L24" s="2">
        <f ca="1">I24*Data!$F$13</f>
        <v>500</v>
      </c>
      <c r="M24" s="4">
        <f t="shared" ca="1" si="2"/>
        <v>557</v>
      </c>
    </row>
    <row r="25" spans="1:13" x14ac:dyDescent="0.3">
      <c r="A25" s="3">
        <v>24</v>
      </c>
      <c r="B25" s="2">
        <f t="shared" ca="1" si="3"/>
        <v>12900</v>
      </c>
      <c r="C25" s="2">
        <f ca="1">IF(C24=MIN(C24:E24),_xlfn.XLOOKUP(RAND(),Data!$C$2:$C$11,Data!$A$2:$A$11,0,1,1),C24-MIN(C24:E24))</f>
        <v>1400</v>
      </c>
      <c r="D25" s="2">
        <f ca="1">IF(D24=MIN(C24:E24),_xlfn.XLOOKUP(RAND(),Data!$C$2:$C$11,Data!$A$2:$A$11,0,1,1),D24-MIN(C24:E24))</f>
        <v>1100</v>
      </c>
      <c r="E25" s="2">
        <f ca="1">IF(E24=MIN(C24:E24),_xlfn.XLOOKUP(RAND(),Data!$C$2:$C$11,Data!$A$2:$A$11,0,1,1),E24-MIN(C24:E24))</f>
        <v>1200</v>
      </c>
      <c r="F25" s="2">
        <f t="shared" ca="1" si="0"/>
        <v>1</v>
      </c>
      <c r="G25" s="2">
        <f ca="1">_xlfn.XLOOKUP(RAND(),Data!$G$2:$G$4,Data!$E$2:$E$4,0,1,1)</f>
        <v>30</v>
      </c>
      <c r="H25" s="2">
        <f ca="1">IF(F25=1,Data!$F$7,IF(F25=2,Data!$F$8,Data!$F$9))</f>
        <v>20</v>
      </c>
      <c r="I25" s="2">
        <f t="shared" ca="1" si="1"/>
        <v>50</v>
      </c>
      <c r="J25" s="2">
        <f ca="1">F25*Data!$F$12</f>
        <v>32</v>
      </c>
      <c r="K25" s="2">
        <f ca="1">((G25+H25)/60)*Data!$F$14</f>
        <v>25</v>
      </c>
      <c r="L25" s="2">
        <f ca="1">I25*Data!$F$13</f>
        <v>500</v>
      </c>
      <c r="M25" s="4">
        <f t="shared" ca="1" si="2"/>
        <v>557</v>
      </c>
    </row>
    <row r="26" spans="1:13" x14ac:dyDescent="0.3">
      <c r="A26" s="3">
        <v>25</v>
      </c>
      <c r="B26" s="2">
        <f t="shared" ca="1" si="3"/>
        <v>13000</v>
      </c>
      <c r="C26" s="2">
        <f ca="1">IF(C25=MIN(C25:E25),_xlfn.XLOOKUP(RAND(),Data!$C$2:$C$11,Data!$A$2:$A$11,0,1,1),C25-MIN(C25:E25))</f>
        <v>300</v>
      </c>
      <c r="D26" s="2">
        <f ca="1">IF(D25=MIN(C25:E25),_xlfn.XLOOKUP(RAND(),Data!$C$2:$C$11,Data!$A$2:$A$11,0,1,1),D25-MIN(C25:E25))</f>
        <v>1800</v>
      </c>
      <c r="E26" s="2">
        <f ca="1">IF(E25=MIN(C25:E25),_xlfn.XLOOKUP(RAND(),Data!$C$2:$C$11,Data!$A$2:$A$11,0,1,1),E25-MIN(C25:E25))</f>
        <v>100</v>
      </c>
      <c r="F26" s="2">
        <f t="shared" ca="1" si="0"/>
        <v>1</v>
      </c>
      <c r="G26" s="2">
        <f ca="1">_xlfn.XLOOKUP(RAND(),Data!$G$2:$G$4,Data!$E$2:$E$4,0,1,1)</f>
        <v>20</v>
      </c>
      <c r="H26" s="2">
        <f ca="1">IF(F26=1,Data!$F$7,IF(F26=2,Data!$F$8,Data!$F$9))</f>
        <v>20</v>
      </c>
      <c r="I26" s="2">
        <f t="shared" ca="1" si="1"/>
        <v>40</v>
      </c>
      <c r="J26" s="2">
        <f ca="1">F26*Data!$F$12</f>
        <v>32</v>
      </c>
      <c r="K26" s="2">
        <f ca="1">((G26+H26)/60)*Data!$F$14</f>
        <v>20</v>
      </c>
      <c r="L26" s="2">
        <f ca="1">I26*Data!$F$13</f>
        <v>400</v>
      </c>
      <c r="M26" s="4">
        <f t="shared" ca="1" si="2"/>
        <v>452</v>
      </c>
    </row>
    <row r="27" spans="1:13" x14ac:dyDescent="0.3">
      <c r="A27" s="3">
        <v>26</v>
      </c>
      <c r="B27" s="2">
        <f t="shared" ca="1" si="3"/>
        <v>13200</v>
      </c>
      <c r="C27" s="2">
        <f ca="1">IF(C26=MIN(C26:E26),_xlfn.XLOOKUP(RAND(),Data!$C$2:$C$11,Data!$A$2:$A$11,0,1,1),C26-MIN(C26:E26))</f>
        <v>200</v>
      </c>
      <c r="D27" s="2">
        <f ca="1">IF(D26=MIN(C26:E26),_xlfn.XLOOKUP(RAND(),Data!$C$2:$C$11,Data!$A$2:$A$11,0,1,1),D26-MIN(C26:E26))</f>
        <v>1700</v>
      </c>
      <c r="E27" s="2">
        <f ca="1">IF(E26=MIN(C26:E26),_xlfn.XLOOKUP(RAND(),Data!$C$2:$C$11,Data!$A$2:$A$11,0,1,1),E26-MIN(C26:E26))</f>
        <v>1400</v>
      </c>
      <c r="F27" s="2">
        <f t="shared" ca="1" si="0"/>
        <v>1</v>
      </c>
      <c r="G27" s="2">
        <f ca="1">_xlfn.XLOOKUP(RAND(),Data!$G$2:$G$4,Data!$E$2:$E$4,0,1,1)</f>
        <v>30</v>
      </c>
      <c r="H27" s="2">
        <f ca="1">IF(F27=1,Data!$F$7,IF(F27=2,Data!$F$8,Data!$F$9))</f>
        <v>20</v>
      </c>
      <c r="I27" s="2">
        <f t="shared" ca="1" si="1"/>
        <v>50</v>
      </c>
      <c r="J27" s="2">
        <f ca="1">F27*Data!$F$12</f>
        <v>32</v>
      </c>
      <c r="K27" s="2">
        <f ca="1">((G27+H27)/60)*Data!$F$14</f>
        <v>25</v>
      </c>
      <c r="L27" s="2">
        <f ca="1">I27*Data!$F$13</f>
        <v>500</v>
      </c>
      <c r="M27" s="4">
        <f t="shared" ca="1" si="2"/>
        <v>557</v>
      </c>
    </row>
    <row r="28" spans="1:13" x14ac:dyDescent="0.3">
      <c r="A28" s="3">
        <v>27</v>
      </c>
      <c r="B28" s="2">
        <f t="shared" ca="1" si="3"/>
        <v>14400</v>
      </c>
      <c r="C28" s="2">
        <f ca="1">IF(C27=MIN(C27:E27),_xlfn.XLOOKUP(RAND(),Data!$C$2:$C$11,Data!$A$2:$A$11,0,1,1),C27-MIN(C27:E27))</f>
        <v>1300</v>
      </c>
      <c r="D28" s="2">
        <f ca="1">IF(D27=MIN(C27:E27),_xlfn.XLOOKUP(RAND(),Data!$C$2:$C$11,Data!$A$2:$A$11,0,1,1),D27-MIN(C27:E27))</f>
        <v>1500</v>
      </c>
      <c r="E28" s="2">
        <f ca="1">IF(E27=MIN(C27:E27),_xlfn.XLOOKUP(RAND(),Data!$C$2:$C$11,Data!$A$2:$A$11,0,1,1),E27-MIN(C27:E27))</f>
        <v>1200</v>
      </c>
      <c r="F28" s="2">
        <f t="shared" ca="1" si="0"/>
        <v>1</v>
      </c>
      <c r="G28" s="2">
        <f ca="1">_xlfn.XLOOKUP(RAND(),Data!$G$2:$G$4,Data!$E$2:$E$4,0,1,1)</f>
        <v>20</v>
      </c>
      <c r="H28" s="2">
        <f ca="1">IF(F28=1,Data!$F$7,IF(F28=2,Data!$F$8,Data!$F$9))</f>
        <v>20</v>
      </c>
      <c r="I28" s="2">
        <f t="shared" ca="1" si="1"/>
        <v>40</v>
      </c>
      <c r="J28" s="2">
        <f ca="1">F28*Data!$F$12</f>
        <v>32</v>
      </c>
      <c r="K28" s="2">
        <f ca="1">((G28+H28)/60)*Data!$F$14</f>
        <v>20</v>
      </c>
      <c r="L28" s="2">
        <f ca="1">I28*Data!$F$13</f>
        <v>400</v>
      </c>
      <c r="M28" s="4">
        <f t="shared" ca="1" si="2"/>
        <v>452</v>
      </c>
    </row>
    <row r="29" spans="1:13" x14ac:dyDescent="0.3">
      <c r="A29" s="3">
        <v>28</v>
      </c>
      <c r="B29" s="2">
        <f t="shared" ca="1" si="3"/>
        <v>14500</v>
      </c>
      <c r="C29" s="2">
        <f ca="1">IF(C28=MIN(C28:E28),_xlfn.XLOOKUP(RAND(),Data!$C$2:$C$11,Data!$A$2:$A$11,0,1,1),C28-MIN(C28:E28))</f>
        <v>100</v>
      </c>
      <c r="D29" s="2">
        <f ca="1">IF(D28=MIN(C28:E28),_xlfn.XLOOKUP(RAND(),Data!$C$2:$C$11,Data!$A$2:$A$11,0,1,1),D28-MIN(C28:E28))</f>
        <v>300</v>
      </c>
      <c r="E29" s="2">
        <f ca="1">IF(E28=MIN(C28:E28),_xlfn.XLOOKUP(RAND(),Data!$C$2:$C$11,Data!$A$2:$A$11,0,1,1),E28-MIN(C28:E28))</f>
        <v>1500</v>
      </c>
      <c r="F29" s="2">
        <f t="shared" ca="1" si="0"/>
        <v>1</v>
      </c>
      <c r="G29" s="2">
        <f ca="1">_xlfn.XLOOKUP(RAND(),Data!$G$2:$G$4,Data!$E$2:$E$4,0,1,1)</f>
        <v>20</v>
      </c>
      <c r="H29" s="2">
        <f ca="1">IF(F29=1,Data!$F$7,IF(F29=2,Data!$F$8,Data!$F$9))</f>
        <v>20</v>
      </c>
      <c r="I29" s="2">
        <f t="shared" ca="1" si="1"/>
        <v>40</v>
      </c>
      <c r="J29" s="2">
        <f ca="1">F29*Data!$F$12</f>
        <v>32</v>
      </c>
      <c r="K29" s="2">
        <f ca="1">((G29+H29)/60)*Data!$F$14</f>
        <v>20</v>
      </c>
      <c r="L29" s="2">
        <f ca="1">I29*Data!$F$13</f>
        <v>400</v>
      </c>
      <c r="M29" s="4">
        <f t="shared" ca="1" si="2"/>
        <v>452</v>
      </c>
    </row>
    <row r="30" spans="1:13" x14ac:dyDescent="0.3">
      <c r="A30" s="3">
        <v>29</v>
      </c>
      <c r="B30" s="2">
        <f t="shared" ca="1" si="3"/>
        <v>14700</v>
      </c>
      <c r="C30" s="2">
        <f ca="1">IF(C29=MIN(C29:E29),_xlfn.XLOOKUP(RAND(),Data!$C$2:$C$11,Data!$A$2:$A$11,0,1,1),C29-MIN(C29:E29))</f>
        <v>1200</v>
      </c>
      <c r="D30" s="2">
        <f ca="1">IF(D29=MIN(C29:E29),_xlfn.XLOOKUP(RAND(),Data!$C$2:$C$11,Data!$A$2:$A$11,0,1,1),D29-MIN(C29:E29))</f>
        <v>200</v>
      </c>
      <c r="E30" s="2">
        <f ca="1">IF(E29=MIN(C29:E29),_xlfn.XLOOKUP(RAND(),Data!$C$2:$C$11,Data!$A$2:$A$11,0,1,1),E29-MIN(C29:E29))</f>
        <v>1400</v>
      </c>
      <c r="F30" s="2">
        <f t="shared" ca="1" si="0"/>
        <v>1</v>
      </c>
      <c r="G30" s="2">
        <f ca="1">_xlfn.XLOOKUP(RAND(),Data!$G$2:$G$4,Data!$E$2:$E$4,0,1,1)</f>
        <v>20</v>
      </c>
      <c r="H30" s="2">
        <f ca="1">IF(F30=1,Data!$F$7,IF(F30=2,Data!$F$8,Data!$F$9))</f>
        <v>20</v>
      </c>
      <c r="I30" s="2">
        <f t="shared" ca="1" si="1"/>
        <v>40</v>
      </c>
      <c r="J30" s="2">
        <f ca="1">F30*Data!$F$12</f>
        <v>32</v>
      </c>
      <c r="K30" s="2">
        <f ca="1">((G30+H30)/60)*Data!$F$14</f>
        <v>20</v>
      </c>
      <c r="L30" s="2">
        <f ca="1">I30*Data!$F$13</f>
        <v>400</v>
      </c>
      <c r="M30" s="4">
        <f t="shared" ca="1" si="2"/>
        <v>452</v>
      </c>
    </row>
    <row r="31" spans="1:13" x14ac:dyDescent="0.3">
      <c r="A31" s="3">
        <v>30</v>
      </c>
      <c r="B31" s="2">
        <f t="shared" ca="1" si="3"/>
        <v>15700</v>
      </c>
      <c r="C31" s="2">
        <f ca="1">IF(C30=MIN(C30:E30),_xlfn.XLOOKUP(RAND(),Data!$C$2:$C$11,Data!$A$2:$A$11,0,1,1),C30-MIN(C30:E30))</f>
        <v>1000</v>
      </c>
      <c r="D31" s="2">
        <f ca="1">IF(D30=MIN(C30:E30),_xlfn.XLOOKUP(RAND(),Data!$C$2:$C$11,Data!$A$2:$A$11,0,1,1),D30-MIN(C30:E30))</f>
        <v>1300</v>
      </c>
      <c r="E31" s="2">
        <f ca="1">IF(E30=MIN(C30:E30),_xlfn.XLOOKUP(RAND(),Data!$C$2:$C$11,Data!$A$2:$A$11,0,1,1),E30-MIN(C30:E30))</f>
        <v>1200</v>
      </c>
      <c r="F31" s="2">
        <f t="shared" ca="1" si="0"/>
        <v>1</v>
      </c>
      <c r="G31" s="2">
        <f ca="1">_xlfn.XLOOKUP(RAND(),Data!$G$2:$G$4,Data!$E$2:$E$4,0,1,1)</f>
        <v>20</v>
      </c>
      <c r="H31" s="2">
        <f ca="1">IF(F31=1,Data!$F$7,IF(F31=2,Data!$F$8,Data!$F$9))</f>
        <v>20</v>
      </c>
      <c r="I31" s="2">
        <f t="shared" ca="1" si="1"/>
        <v>40</v>
      </c>
      <c r="J31" s="2">
        <f ca="1">F31*Data!$F$12</f>
        <v>32</v>
      </c>
      <c r="K31" s="2">
        <f ca="1">((G31+H31)/60)*Data!$F$14</f>
        <v>20</v>
      </c>
      <c r="L31" s="2">
        <f ca="1">I31*Data!$F$13</f>
        <v>400</v>
      </c>
      <c r="M31" s="4">
        <f t="shared" ca="1" si="2"/>
        <v>452</v>
      </c>
    </row>
    <row r="32" spans="1:13" x14ac:dyDescent="0.3">
      <c r="A32" s="3">
        <v>31</v>
      </c>
      <c r="B32" s="2">
        <f t="shared" ca="1" si="3"/>
        <v>15900</v>
      </c>
      <c r="C32" s="2">
        <f ca="1">IF(C31=MIN(C31:E31),_xlfn.XLOOKUP(RAND(),Data!$C$2:$C$11,Data!$A$2:$A$11,0,1,1),C31-MIN(C31:E31))</f>
        <v>1000</v>
      </c>
      <c r="D32" s="2">
        <f ca="1">IF(D31=MIN(C31:E31),_xlfn.XLOOKUP(RAND(),Data!$C$2:$C$11,Data!$A$2:$A$11,0,1,1),D31-MIN(C31:E31))</f>
        <v>300</v>
      </c>
      <c r="E32" s="2">
        <f ca="1">IF(E31=MIN(C31:E31),_xlfn.XLOOKUP(RAND(),Data!$C$2:$C$11,Data!$A$2:$A$11,0,1,1),E31-MIN(C31:E31))</f>
        <v>200</v>
      </c>
      <c r="F32" s="2">
        <f t="shared" ca="1" si="0"/>
        <v>1</v>
      </c>
      <c r="G32" s="2">
        <f ca="1">_xlfn.XLOOKUP(RAND(),Data!$G$2:$G$4,Data!$E$2:$E$4,0,1,1)</f>
        <v>20</v>
      </c>
      <c r="H32" s="2">
        <f ca="1">IF(F32=1,Data!$F$7,IF(F32=2,Data!$F$8,Data!$F$9))</f>
        <v>20</v>
      </c>
      <c r="I32" s="2">
        <f t="shared" ca="1" si="1"/>
        <v>40</v>
      </c>
      <c r="J32" s="2">
        <f ca="1">F32*Data!$F$12</f>
        <v>32</v>
      </c>
      <c r="K32" s="2">
        <f ca="1">((G32+H32)/60)*Data!$F$14</f>
        <v>20</v>
      </c>
      <c r="L32" s="2">
        <f ca="1">I32*Data!$F$13</f>
        <v>400</v>
      </c>
      <c r="M32" s="4">
        <f t="shared" ca="1" si="2"/>
        <v>452</v>
      </c>
    </row>
    <row r="33" spans="1:13" x14ac:dyDescent="0.3">
      <c r="A33" s="3">
        <v>32</v>
      </c>
      <c r="B33" s="2">
        <f t="shared" ca="1" si="3"/>
        <v>16000</v>
      </c>
      <c r="C33" s="2">
        <f ca="1">IF(C32=MIN(C32:E32),_xlfn.XLOOKUP(RAND(),Data!$C$2:$C$11,Data!$A$2:$A$11,0,1,1),C32-MIN(C32:E32))</f>
        <v>800</v>
      </c>
      <c r="D33" s="2">
        <f ca="1">IF(D32=MIN(C32:E32),_xlfn.XLOOKUP(RAND(),Data!$C$2:$C$11,Data!$A$2:$A$11,0,1,1),D32-MIN(C32:E32))</f>
        <v>100</v>
      </c>
      <c r="E33" s="2">
        <f ca="1">IF(E32=MIN(C32:E32),_xlfn.XLOOKUP(RAND(),Data!$C$2:$C$11,Data!$A$2:$A$11,0,1,1),E32-MIN(C32:E32))</f>
        <v>1200</v>
      </c>
      <c r="F33" s="2">
        <f t="shared" ca="1" si="0"/>
        <v>1</v>
      </c>
      <c r="G33" s="2">
        <f ca="1">_xlfn.XLOOKUP(RAND(),Data!$G$2:$G$4,Data!$E$2:$E$4,0,1,1)</f>
        <v>20</v>
      </c>
      <c r="H33" s="2">
        <f ca="1">IF(F33=1,Data!$F$7,IF(F33=2,Data!$F$8,Data!$F$9))</f>
        <v>20</v>
      </c>
      <c r="I33" s="2">
        <f t="shared" ca="1" si="1"/>
        <v>40</v>
      </c>
      <c r="J33" s="2">
        <f ca="1">F33*Data!$F$12</f>
        <v>32</v>
      </c>
      <c r="K33" s="2">
        <f ca="1">((G33+H33)/60)*Data!$F$14</f>
        <v>20</v>
      </c>
      <c r="L33" s="2">
        <f ca="1">I33*Data!$F$13</f>
        <v>400</v>
      </c>
      <c r="M33" s="4">
        <f t="shared" ca="1" si="2"/>
        <v>452</v>
      </c>
    </row>
    <row r="34" spans="1:13" x14ac:dyDescent="0.3">
      <c r="A34" s="3">
        <v>33</v>
      </c>
      <c r="B34" s="2">
        <f t="shared" ca="1" si="3"/>
        <v>16700</v>
      </c>
      <c r="C34" s="2">
        <f ca="1">IF(C33=MIN(C33:E33),_xlfn.XLOOKUP(RAND(),Data!$C$2:$C$11,Data!$A$2:$A$11,0,1,1),C33-MIN(C33:E33))</f>
        <v>700</v>
      </c>
      <c r="D34" s="2">
        <f ca="1">IF(D33=MIN(C33:E33),_xlfn.XLOOKUP(RAND(),Data!$C$2:$C$11,Data!$A$2:$A$11,0,1,1),D33-MIN(C33:E33))</f>
        <v>1300</v>
      </c>
      <c r="E34" s="2">
        <f ca="1">IF(E33=MIN(C33:E33),_xlfn.XLOOKUP(RAND(),Data!$C$2:$C$11,Data!$A$2:$A$11,0,1,1),E33-MIN(C33:E33))</f>
        <v>1100</v>
      </c>
      <c r="F34" s="2">
        <f t="shared" ca="1" si="0"/>
        <v>1</v>
      </c>
      <c r="G34" s="2">
        <f ca="1">_xlfn.XLOOKUP(RAND(),Data!$G$2:$G$4,Data!$E$2:$E$4,0,1,1)</f>
        <v>20</v>
      </c>
      <c r="H34" s="2">
        <f ca="1">IF(F34=1,Data!$F$7,IF(F34=2,Data!$F$8,Data!$F$9))</f>
        <v>20</v>
      </c>
      <c r="I34" s="2">
        <f t="shared" ca="1" si="1"/>
        <v>40</v>
      </c>
      <c r="J34" s="2">
        <f ca="1">F34*Data!$F$12</f>
        <v>32</v>
      </c>
      <c r="K34" s="2">
        <f ca="1">((G34+H34)/60)*Data!$F$14</f>
        <v>20</v>
      </c>
      <c r="L34" s="2">
        <f ca="1">I34*Data!$F$13</f>
        <v>400</v>
      </c>
      <c r="M34" s="4">
        <f t="shared" ca="1" si="2"/>
        <v>452</v>
      </c>
    </row>
    <row r="35" spans="1:13" x14ac:dyDescent="0.3">
      <c r="A35" s="3">
        <v>34</v>
      </c>
      <c r="B35" s="2">
        <f t="shared" ca="1" si="3"/>
        <v>17100</v>
      </c>
      <c r="C35" s="2">
        <f ca="1">IF(C34=MIN(C34:E34),_xlfn.XLOOKUP(RAND(),Data!$C$2:$C$11,Data!$A$2:$A$11,0,1,1),C34-MIN(C34:E34))</f>
        <v>1200</v>
      </c>
      <c r="D35" s="2">
        <f ca="1">IF(D34=MIN(C34:E34),_xlfn.XLOOKUP(RAND(),Data!$C$2:$C$11,Data!$A$2:$A$11,0,1,1),D34-MIN(C34:E34))</f>
        <v>600</v>
      </c>
      <c r="E35" s="2">
        <f ca="1">IF(E34=MIN(C34:E34),_xlfn.XLOOKUP(RAND(),Data!$C$2:$C$11,Data!$A$2:$A$11,0,1,1),E34-MIN(C34:E34))</f>
        <v>400</v>
      </c>
      <c r="F35" s="2">
        <f t="shared" ca="1" si="0"/>
        <v>1</v>
      </c>
      <c r="G35" s="2">
        <f ca="1">_xlfn.XLOOKUP(RAND(),Data!$G$2:$G$4,Data!$E$2:$E$4,0,1,1)</f>
        <v>20</v>
      </c>
      <c r="H35" s="2">
        <f ca="1">IF(F35=1,Data!$F$7,IF(F35=2,Data!$F$8,Data!$F$9))</f>
        <v>20</v>
      </c>
      <c r="I35" s="2">
        <f t="shared" ca="1" si="1"/>
        <v>40</v>
      </c>
      <c r="J35" s="2">
        <f ca="1">F35*Data!$F$12</f>
        <v>32</v>
      </c>
      <c r="K35" s="2">
        <f ca="1">((G35+H35)/60)*Data!$F$14</f>
        <v>20</v>
      </c>
      <c r="L35" s="2">
        <f ca="1">I35*Data!$F$13</f>
        <v>400</v>
      </c>
      <c r="M35" s="4">
        <f t="shared" ca="1" si="2"/>
        <v>452</v>
      </c>
    </row>
    <row r="36" spans="1:13" x14ac:dyDescent="0.3">
      <c r="A36" s="3">
        <v>35</v>
      </c>
      <c r="B36" s="2">
        <f t="shared" ca="1" si="3"/>
        <v>17300</v>
      </c>
      <c r="C36" s="2">
        <f ca="1">IF(C35=MIN(C35:E35),_xlfn.XLOOKUP(RAND(),Data!$C$2:$C$11,Data!$A$2:$A$11,0,1,1),C35-MIN(C35:E35))</f>
        <v>800</v>
      </c>
      <c r="D36" s="2">
        <f ca="1">IF(D35=MIN(C35:E35),_xlfn.XLOOKUP(RAND(),Data!$C$2:$C$11,Data!$A$2:$A$11,0,1,1),D35-MIN(C35:E35))</f>
        <v>200</v>
      </c>
      <c r="E36" s="2">
        <f ca="1">IF(E35=MIN(C35:E35),_xlfn.XLOOKUP(RAND(),Data!$C$2:$C$11,Data!$A$2:$A$11,0,1,1),E35-MIN(C35:E35))</f>
        <v>1000</v>
      </c>
      <c r="F36" s="2">
        <f t="shared" ca="1" si="0"/>
        <v>1</v>
      </c>
      <c r="G36" s="2">
        <f ca="1">_xlfn.XLOOKUP(RAND(),Data!$G$2:$G$4,Data!$E$2:$E$4,0,1,1)</f>
        <v>20</v>
      </c>
      <c r="H36" s="2">
        <f ca="1">IF(F36=1,Data!$F$7,IF(F36=2,Data!$F$8,Data!$F$9))</f>
        <v>20</v>
      </c>
      <c r="I36" s="2">
        <f t="shared" ca="1" si="1"/>
        <v>40</v>
      </c>
      <c r="J36" s="2">
        <f ca="1">F36*Data!$F$12</f>
        <v>32</v>
      </c>
      <c r="K36" s="2">
        <f ca="1">((G36+H36)/60)*Data!$F$14</f>
        <v>20</v>
      </c>
      <c r="L36" s="2">
        <f ca="1">I36*Data!$F$13</f>
        <v>400</v>
      </c>
      <c r="M36" s="4">
        <f t="shared" ca="1" si="2"/>
        <v>452</v>
      </c>
    </row>
    <row r="37" spans="1:13" x14ac:dyDescent="0.3">
      <c r="A37" s="3">
        <v>36</v>
      </c>
      <c r="B37" s="2">
        <f t="shared" ca="1" si="3"/>
        <v>17900</v>
      </c>
      <c r="C37" s="2">
        <f ca="1">IF(C36=MIN(C36:E36),_xlfn.XLOOKUP(RAND(),Data!$C$2:$C$11,Data!$A$2:$A$11,0,1,1),C36-MIN(C36:E36))</f>
        <v>600</v>
      </c>
      <c r="D37" s="2">
        <f ca="1">IF(D36=MIN(C36:E36),_xlfn.XLOOKUP(RAND(),Data!$C$2:$C$11,Data!$A$2:$A$11,0,1,1),D36-MIN(C36:E36))</f>
        <v>1400</v>
      </c>
      <c r="E37" s="2">
        <f ca="1">IF(E36=MIN(C36:E36),_xlfn.XLOOKUP(RAND(),Data!$C$2:$C$11,Data!$A$2:$A$11,0,1,1),E36-MIN(C36:E36))</f>
        <v>800</v>
      </c>
      <c r="F37" s="2">
        <f t="shared" ca="1" si="0"/>
        <v>1</v>
      </c>
      <c r="G37" s="2">
        <f ca="1">_xlfn.XLOOKUP(RAND(),Data!$G$2:$G$4,Data!$E$2:$E$4,0,1,1)</f>
        <v>30</v>
      </c>
      <c r="H37" s="2">
        <f ca="1">IF(F37=1,Data!$F$7,IF(F37=2,Data!$F$8,Data!$F$9))</f>
        <v>20</v>
      </c>
      <c r="I37" s="2">
        <f t="shared" ca="1" si="1"/>
        <v>50</v>
      </c>
      <c r="J37" s="2">
        <f ca="1">F37*Data!$F$12</f>
        <v>32</v>
      </c>
      <c r="K37" s="2">
        <f ca="1">((G37+H37)/60)*Data!$F$14</f>
        <v>25</v>
      </c>
      <c r="L37" s="2">
        <f ca="1">I37*Data!$F$13</f>
        <v>500</v>
      </c>
      <c r="M37" s="4">
        <f t="shared" ca="1" si="2"/>
        <v>557</v>
      </c>
    </row>
    <row r="38" spans="1:13" x14ac:dyDescent="0.3">
      <c r="A38" s="3">
        <v>37</v>
      </c>
      <c r="B38" s="2">
        <f t="shared" ca="1" si="3"/>
        <v>18100</v>
      </c>
      <c r="C38" s="2">
        <f ca="1">IF(C37=MIN(C37:E37),_xlfn.XLOOKUP(RAND(),Data!$C$2:$C$11,Data!$A$2:$A$11,0,1,1),C37-MIN(C37:E37))</f>
        <v>1300</v>
      </c>
      <c r="D38" s="2">
        <f ca="1">IF(D37=MIN(C37:E37),_xlfn.XLOOKUP(RAND(),Data!$C$2:$C$11,Data!$A$2:$A$11,0,1,1),D37-MIN(C37:E37))</f>
        <v>800</v>
      </c>
      <c r="E38" s="2">
        <f ca="1">IF(E37=MIN(C37:E37),_xlfn.XLOOKUP(RAND(),Data!$C$2:$C$11,Data!$A$2:$A$11,0,1,1),E37-MIN(C37:E37))</f>
        <v>200</v>
      </c>
      <c r="F38" s="2">
        <f t="shared" ca="1" si="0"/>
        <v>1</v>
      </c>
      <c r="G38" s="2">
        <f ca="1">_xlfn.XLOOKUP(RAND(),Data!$G$2:$G$4,Data!$E$2:$E$4,0,1,1)</f>
        <v>20</v>
      </c>
      <c r="H38" s="2">
        <f ca="1">IF(F38=1,Data!$F$7,IF(F38=2,Data!$F$8,Data!$F$9))</f>
        <v>20</v>
      </c>
      <c r="I38" s="2">
        <f t="shared" ca="1" si="1"/>
        <v>40</v>
      </c>
      <c r="J38" s="2">
        <f ca="1">F38*Data!$F$12</f>
        <v>32</v>
      </c>
      <c r="K38" s="2">
        <f ca="1">((G38+H38)/60)*Data!$F$14</f>
        <v>20</v>
      </c>
      <c r="L38" s="2">
        <f ca="1">I38*Data!$F$13</f>
        <v>400</v>
      </c>
      <c r="M38" s="4">
        <f t="shared" ca="1" si="2"/>
        <v>452</v>
      </c>
    </row>
    <row r="39" spans="1:13" x14ac:dyDescent="0.3">
      <c r="A39" s="3">
        <v>38</v>
      </c>
      <c r="B39" s="2">
        <f t="shared" ca="1" si="3"/>
        <v>18700</v>
      </c>
      <c r="C39" s="2">
        <f ca="1">IF(C38=MIN(C38:E38),_xlfn.XLOOKUP(RAND(),Data!$C$2:$C$11,Data!$A$2:$A$11,0,1,1),C38-MIN(C38:E38))</f>
        <v>1100</v>
      </c>
      <c r="D39" s="2">
        <f ca="1">IF(D38=MIN(C38:E38),_xlfn.XLOOKUP(RAND(),Data!$C$2:$C$11,Data!$A$2:$A$11,0,1,1),D38-MIN(C38:E38))</f>
        <v>600</v>
      </c>
      <c r="E39" s="2">
        <f ca="1">IF(E38=MIN(C38:E38),_xlfn.XLOOKUP(RAND(),Data!$C$2:$C$11,Data!$A$2:$A$11,0,1,1),E38-MIN(C38:E38))</f>
        <v>1200</v>
      </c>
      <c r="F39" s="2">
        <f t="shared" ca="1" si="0"/>
        <v>1</v>
      </c>
      <c r="G39" s="2">
        <f ca="1">_xlfn.XLOOKUP(RAND(),Data!$G$2:$G$4,Data!$E$2:$E$4,0,1,1)</f>
        <v>30</v>
      </c>
      <c r="H39" s="2">
        <f ca="1">IF(F39=1,Data!$F$7,IF(F39=2,Data!$F$8,Data!$F$9))</f>
        <v>20</v>
      </c>
      <c r="I39" s="2">
        <f t="shared" ca="1" si="1"/>
        <v>50</v>
      </c>
      <c r="J39" s="2">
        <f ca="1">F39*Data!$F$12</f>
        <v>32</v>
      </c>
      <c r="K39" s="2">
        <f ca="1">((G39+H39)/60)*Data!$F$14</f>
        <v>25</v>
      </c>
      <c r="L39" s="2">
        <f ca="1">I39*Data!$F$13</f>
        <v>500</v>
      </c>
      <c r="M39" s="4">
        <f t="shared" ca="1" si="2"/>
        <v>557</v>
      </c>
    </row>
    <row r="40" spans="1:13" x14ac:dyDescent="0.3">
      <c r="A40" s="3">
        <v>39</v>
      </c>
      <c r="B40" s="2">
        <f t="shared" ca="1" si="3"/>
        <v>19200</v>
      </c>
      <c r="C40" s="2">
        <f ca="1">IF(C39=MIN(C39:E39),_xlfn.XLOOKUP(RAND(),Data!$C$2:$C$11,Data!$A$2:$A$11,0,1,1),C39-MIN(C39:E39))</f>
        <v>500</v>
      </c>
      <c r="D40" s="2">
        <f ca="1">IF(D39=MIN(C39:E39),_xlfn.XLOOKUP(RAND(),Data!$C$2:$C$11,Data!$A$2:$A$11,0,1,1),D39-MIN(C39:E39))</f>
        <v>1700</v>
      </c>
      <c r="E40" s="2">
        <f ca="1">IF(E39=MIN(C39:E39),_xlfn.XLOOKUP(RAND(),Data!$C$2:$C$11,Data!$A$2:$A$11,0,1,1),E39-MIN(C39:E39))</f>
        <v>600</v>
      </c>
      <c r="F40" s="2">
        <f t="shared" ca="1" si="0"/>
        <v>1</v>
      </c>
      <c r="G40" s="2">
        <f ca="1">_xlfn.XLOOKUP(RAND(),Data!$G$2:$G$4,Data!$E$2:$E$4,0,1,1)</f>
        <v>20</v>
      </c>
      <c r="H40" s="2">
        <f ca="1">IF(F40=1,Data!$F$7,IF(F40=2,Data!$F$8,Data!$F$9))</f>
        <v>20</v>
      </c>
      <c r="I40" s="2">
        <f t="shared" ca="1" si="1"/>
        <v>40</v>
      </c>
      <c r="J40" s="2">
        <f ca="1">F40*Data!$F$12</f>
        <v>32</v>
      </c>
      <c r="K40" s="2">
        <f ca="1">((G40+H40)/60)*Data!$F$14</f>
        <v>20</v>
      </c>
      <c r="L40" s="2">
        <f ca="1">I40*Data!$F$13</f>
        <v>400</v>
      </c>
      <c r="M40" s="4">
        <f t="shared" ca="1" si="2"/>
        <v>452</v>
      </c>
    </row>
    <row r="41" spans="1:13" x14ac:dyDescent="0.3">
      <c r="A41" s="3">
        <v>40</v>
      </c>
      <c r="B41" s="2">
        <f t="shared" ca="1" si="3"/>
        <v>19300</v>
      </c>
      <c r="C41" s="2">
        <f ca="1">IF(C40=MIN(C40:E40),_xlfn.XLOOKUP(RAND(),Data!$C$2:$C$11,Data!$A$2:$A$11,0,1,1),C40-MIN(C40:E40))</f>
        <v>1200</v>
      </c>
      <c r="D41" s="2">
        <f ca="1">IF(D40=MIN(C40:E40),_xlfn.XLOOKUP(RAND(),Data!$C$2:$C$11,Data!$A$2:$A$11,0,1,1),D40-MIN(C40:E40))</f>
        <v>1200</v>
      </c>
      <c r="E41" s="2">
        <f ca="1">IF(E40=MIN(C40:E40),_xlfn.XLOOKUP(RAND(),Data!$C$2:$C$11,Data!$A$2:$A$11,0,1,1),E40-MIN(C40:E40))</f>
        <v>100</v>
      </c>
      <c r="F41" s="2">
        <f t="shared" ca="1" si="0"/>
        <v>1</v>
      </c>
      <c r="G41" s="2">
        <f ca="1">_xlfn.XLOOKUP(RAND(),Data!$G$2:$G$4,Data!$E$2:$E$4,0,1,1)</f>
        <v>20</v>
      </c>
      <c r="H41" s="2">
        <f ca="1">IF(F41=1,Data!$F$7,IF(F41=2,Data!$F$8,Data!$F$9))</f>
        <v>20</v>
      </c>
      <c r="I41" s="2">
        <f t="shared" ca="1" si="1"/>
        <v>40</v>
      </c>
      <c r="J41" s="2">
        <f ca="1">F41*Data!$F$12</f>
        <v>32</v>
      </c>
      <c r="K41" s="2">
        <f ca="1">((G41+H41)/60)*Data!$F$14</f>
        <v>20</v>
      </c>
      <c r="L41" s="2">
        <f ca="1">I41*Data!$F$13</f>
        <v>400</v>
      </c>
      <c r="M41" s="4">
        <f t="shared" ca="1" si="2"/>
        <v>452</v>
      </c>
    </row>
    <row r="42" spans="1:13" x14ac:dyDescent="0.3">
      <c r="A42" s="3">
        <v>41</v>
      </c>
      <c r="B42" s="2">
        <f t="shared" ca="1" si="3"/>
        <v>20400</v>
      </c>
      <c r="C42" s="2">
        <f ca="1">IF(C41=MIN(C41:E41),_xlfn.XLOOKUP(RAND(),Data!$C$2:$C$11,Data!$A$2:$A$11,0,1,1),C41-MIN(C41:E41))</f>
        <v>1100</v>
      </c>
      <c r="D42" s="2">
        <f ca="1">IF(D41=MIN(C41:E41),_xlfn.XLOOKUP(RAND(),Data!$C$2:$C$11,Data!$A$2:$A$11,0,1,1),D41-MIN(C41:E41))</f>
        <v>1100</v>
      </c>
      <c r="E42" s="2">
        <f ca="1">IF(E41=MIN(C41:E41),_xlfn.XLOOKUP(RAND(),Data!$C$2:$C$11,Data!$A$2:$A$11,0,1,1),E41-MIN(C41:E41))</f>
        <v>1200</v>
      </c>
      <c r="F42" s="2">
        <f t="shared" ca="1" si="0"/>
        <v>2</v>
      </c>
      <c r="G42" s="2">
        <f ca="1">_xlfn.XLOOKUP(RAND(),Data!$G$2:$G$4,Data!$E$2:$E$4,0,1,1)</f>
        <v>30</v>
      </c>
      <c r="H42" s="2">
        <f ca="1">IF(F42=1,Data!$F$7,IF(F42=2,Data!$F$8,Data!$F$9))</f>
        <v>30</v>
      </c>
      <c r="I42" s="2">
        <f t="shared" ca="1" si="1"/>
        <v>60</v>
      </c>
      <c r="J42" s="2">
        <f ca="1">F42*Data!$F$12</f>
        <v>64</v>
      </c>
      <c r="K42" s="2">
        <f ca="1">((G42+H42)/60)*Data!$F$14</f>
        <v>30</v>
      </c>
      <c r="L42" s="2">
        <f ca="1">I42*Data!$F$13</f>
        <v>600</v>
      </c>
      <c r="M42" s="4">
        <f t="shared" ca="1" si="2"/>
        <v>694</v>
      </c>
    </row>
    <row r="43" spans="1:13" x14ac:dyDescent="0.3">
      <c r="A43" s="3">
        <v>42</v>
      </c>
      <c r="B43" s="2">
        <f t="shared" ca="1" si="3"/>
        <v>20500</v>
      </c>
      <c r="C43" s="2">
        <f ca="1">IF(C42=MIN(C42:E42),_xlfn.XLOOKUP(RAND(),Data!$C$2:$C$11,Data!$A$2:$A$11,0,1,1),C42-MIN(C42:E42))</f>
        <v>1200</v>
      </c>
      <c r="D43" s="2">
        <f ca="1">IF(D42=MIN(C42:E42),_xlfn.XLOOKUP(RAND(),Data!$C$2:$C$11,Data!$A$2:$A$11,0,1,1),D42-MIN(C42:E42))</f>
        <v>1500</v>
      </c>
      <c r="E43" s="2">
        <f ca="1">IF(E42=MIN(C42:E42),_xlfn.XLOOKUP(RAND(),Data!$C$2:$C$11,Data!$A$2:$A$11,0,1,1),E42-MIN(C42:E42))</f>
        <v>100</v>
      </c>
      <c r="F43" s="2">
        <f t="shared" ca="1" si="0"/>
        <v>1</v>
      </c>
      <c r="G43" s="2">
        <f ca="1">_xlfn.XLOOKUP(RAND(),Data!$G$2:$G$4,Data!$E$2:$E$4,0,1,1)</f>
        <v>20</v>
      </c>
      <c r="H43" s="2">
        <f ca="1">IF(F43=1,Data!$F$7,IF(F43=2,Data!$F$8,Data!$F$9))</f>
        <v>20</v>
      </c>
      <c r="I43" s="2">
        <f t="shared" ca="1" si="1"/>
        <v>40</v>
      </c>
      <c r="J43" s="2">
        <f ca="1">F43*Data!$F$12</f>
        <v>32</v>
      </c>
      <c r="K43" s="2">
        <f ca="1">((G43+H43)/60)*Data!$F$14</f>
        <v>20</v>
      </c>
      <c r="L43" s="2">
        <f ca="1">I43*Data!$F$13</f>
        <v>400</v>
      </c>
      <c r="M43" s="4">
        <f t="shared" ca="1" si="2"/>
        <v>452</v>
      </c>
    </row>
    <row r="44" spans="1:13" x14ac:dyDescent="0.3">
      <c r="A44" s="3">
        <v>43</v>
      </c>
      <c r="B44" s="2">
        <f t="shared" ca="1" si="3"/>
        <v>21600</v>
      </c>
      <c r="C44" s="2">
        <f ca="1">IF(C43=MIN(C43:E43),_xlfn.XLOOKUP(RAND(),Data!$C$2:$C$11,Data!$A$2:$A$11,0,1,1),C43-MIN(C43:E43))</f>
        <v>1100</v>
      </c>
      <c r="D44" s="2">
        <f ca="1">IF(D43=MIN(C43:E43),_xlfn.XLOOKUP(RAND(),Data!$C$2:$C$11,Data!$A$2:$A$11,0,1,1),D43-MIN(C43:E43))</f>
        <v>1400</v>
      </c>
      <c r="E44" s="2">
        <f ca="1">IF(E43=MIN(C43:E43),_xlfn.XLOOKUP(RAND(),Data!$C$2:$C$11,Data!$A$2:$A$11,0,1,1),E43-MIN(C43:E43))</f>
        <v>1200</v>
      </c>
      <c r="F44" s="2">
        <f t="shared" ca="1" si="0"/>
        <v>1</v>
      </c>
      <c r="G44" s="2">
        <f ca="1">_xlfn.XLOOKUP(RAND(),Data!$G$2:$G$4,Data!$E$2:$E$4,0,1,1)</f>
        <v>30</v>
      </c>
      <c r="H44" s="2">
        <f ca="1">IF(F44=1,Data!$F$7,IF(F44=2,Data!$F$8,Data!$F$9))</f>
        <v>20</v>
      </c>
      <c r="I44" s="2">
        <f t="shared" ca="1" si="1"/>
        <v>50</v>
      </c>
      <c r="J44" s="2">
        <f ca="1">F44*Data!$F$12</f>
        <v>32</v>
      </c>
      <c r="K44" s="2">
        <f ca="1">((G44+H44)/60)*Data!$F$14</f>
        <v>25</v>
      </c>
      <c r="L44" s="2">
        <f ca="1">I44*Data!$F$13</f>
        <v>500</v>
      </c>
      <c r="M44" s="4">
        <f t="shared" ca="1" si="2"/>
        <v>557</v>
      </c>
    </row>
    <row r="45" spans="1:13" x14ac:dyDescent="0.3">
      <c r="A45" s="3">
        <v>44</v>
      </c>
      <c r="B45" s="2">
        <f t="shared" ca="1" si="3"/>
        <v>21700</v>
      </c>
      <c r="C45" s="2">
        <f ca="1">IF(C44=MIN(C44:E44),_xlfn.XLOOKUP(RAND(),Data!$C$2:$C$11,Data!$A$2:$A$11,0,1,1),C44-MIN(C44:E44))</f>
        <v>1100</v>
      </c>
      <c r="D45" s="2">
        <f ca="1">IF(D44=MIN(C44:E44),_xlfn.XLOOKUP(RAND(),Data!$C$2:$C$11,Data!$A$2:$A$11,0,1,1),D44-MIN(C44:E44))</f>
        <v>300</v>
      </c>
      <c r="E45" s="2">
        <f ca="1">IF(E44=MIN(C44:E44),_xlfn.XLOOKUP(RAND(),Data!$C$2:$C$11,Data!$A$2:$A$11,0,1,1),E44-MIN(C44:E44))</f>
        <v>100</v>
      </c>
      <c r="F45" s="2">
        <f t="shared" ca="1" si="0"/>
        <v>1</v>
      </c>
      <c r="G45" s="2">
        <f ca="1">_xlfn.XLOOKUP(RAND(),Data!$G$2:$G$4,Data!$E$2:$E$4,0,1,1)</f>
        <v>20</v>
      </c>
      <c r="H45" s="2">
        <f ca="1">IF(F45=1,Data!$F$7,IF(F45=2,Data!$F$8,Data!$F$9))</f>
        <v>20</v>
      </c>
      <c r="I45" s="2">
        <f t="shared" ca="1" si="1"/>
        <v>40</v>
      </c>
      <c r="J45" s="2">
        <f ca="1">F45*Data!$F$12</f>
        <v>32</v>
      </c>
      <c r="K45" s="2">
        <f ca="1">((G45+H45)/60)*Data!$F$14</f>
        <v>20</v>
      </c>
      <c r="L45" s="2">
        <f ca="1">I45*Data!$F$13</f>
        <v>400</v>
      </c>
      <c r="M45" s="4">
        <f t="shared" ca="1" si="2"/>
        <v>452</v>
      </c>
    </row>
    <row r="46" spans="1:13" x14ac:dyDescent="0.3">
      <c r="A46" s="8">
        <v>45</v>
      </c>
      <c r="B46" s="9">
        <f t="shared" ca="1" si="3"/>
        <v>21900</v>
      </c>
      <c r="C46" s="9">
        <f ca="1">IF(C45=MIN(C45:E45),_xlfn.XLOOKUP(RAND(),Data!$C$2:$C$11,Data!$A$2:$A$11,0,1,1),C45-MIN(C45:E45))</f>
        <v>1000</v>
      </c>
      <c r="D46" s="9">
        <f ca="1">IF(D45=MIN(C45:E45),_xlfn.XLOOKUP(RAND(),Data!$C$2:$C$11,Data!$A$2:$A$11,0,1,1),D45-MIN(C45:E45))</f>
        <v>200</v>
      </c>
      <c r="E46" s="9">
        <f ca="1">IF(E45=MIN(C45:E45),_xlfn.XLOOKUP(RAND(),Data!$C$2:$C$11,Data!$A$2:$A$11,0,1,1),E45-MIN(C45:E45))</f>
        <v>1200</v>
      </c>
      <c r="F46" s="9">
        <f t="shared" ca="1" si="0"/>
        <v>1</v>
      </c>
      <c r="G46" s="9">
        <f ca="1">_xlfn.XLOOKUP(RAND(),Data!$G$2:$G$4,Data!$E$2:$E$4,0,1,1)</f>
        <v>30</v>
      </c>
      <c r="H46" s="9">
        <f ca="1">IF(F46=1,Data!$F$7,IF(F46=2,Data!$F$8,Data!$F$9))</f>
        <v>20</v>
      </c>
      <c r="I46" s="9">
        <f t="shared" ca="1" si="1"/>
        <v>50</v>
      </c>
      <c r="J46" s="9">
        <f ca="1">F46*Data!$F$12</f>
        <v>32</v>
      </c>
      <c r="K46" s="9">
        <f ca="1">((G46+H46)/60)*Data!$F$14</f>
        <v>25</v>
      </c>
      <c r="L46" s="9">
        <f ca="1">I46*Data!$F$13</f>
        <v>500</v>
      </c>
      <c r="M46" s="10">
        <f t="shared" ca="1" si="2"/>
        <v>557</v>
      </c>
    </row>
    <row r="48" spans="1:13" x14ac:dyDescent="0.3">
      <c r="L48" s="20" t="s">
        <v>18</v>
      </c>
      <c r="M48" s="20">
        <f ca="1">AVERAGE(M2:M46)</f>
        <v>513.63333333333333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87D7-2C90-4B46-90EE-F7DD0C890D11}">
  <dimension ref="A1:M48"/>
  <sheetViews>
    <sheetView workbookViewId="0">
      <pane ySplit="1" topLeftCell="A2" activePane="bottomLeft" state="frozen"/>
      <selection pane="bottomLeft" activeCell="N3" sqref="N3"/>
    </sheetView>
  </sheetViews>
  <sheetFormatPr defaultRowHeight="14.4" x14ac:dyDescent="0.3"/>
  <cols>
    <col min="2" max="2" width="13.109375" customWidth="1"/>
    <col min="3" max="4" width="14.88671875" customWidth="1"/>
    <col min="5" max="6" width="15" customWidth="1"/>
    <col min="7" max="7" width="13.21875" customWidth="1"/>
    <col min="8" max="8" width="17.6640625" customWidth="1"/>
    <col min="9" max="9" width="16.21875" customWidth="1"/>
    <col min="10" max="11" width="12.77734375" customWidth="1"/>
    <col min="12" max="12" width="15.77734375" customWidth="1"/>
    <col min="13" max="13" width="11.109375" customWidth="1"/>
  </cols>
  <sheetData>
    <row r="1" spans="1:13" x14ac:dyDescent="0.3">
      <c r="A1" s="34" t="s">
        <v>4</v>
      </c>
      <c r="B1" s="35" t="s">
        <v>19</v>
      </c>
      <c r="C1" s="35" t="s">
        <v>5</v>
      </c>
      <c r="D1" s="35" t="s">
        <v>6</v>
      </c>
      <c r="E1" s="35" t="s">
        <v>7</v>
      </c>
      <c r="F1" s="35" t="s">
        <v>20</v>
      </c>
      <c r="G1" s="35" t="s">
        <v>3</v>
      </c>
      <c r="H1" s="35" t="s">
        <v>10</v>
      </c>
      <c r="I1" s="35" t="s">
        <v>11</v>
      </c>
      <c r="J1" s="35" t="s">
        <v>12</v>
      </c>
      <c r="K1" s="35" t="s">
        <v>13</v>
      </c>
      <c r="L1" s="35" t="s">
        <v>14</v>
      </c>
      <c r="M1" s="36" t="s">
        <v>15</v>
      </c>
    </row>
    <row r="2" spans="1:13" x14ac:dyDescent="0.3">
      <c r="A2" s="3">
        <v>1</v>
      </c>
      <c r="B2" s="2">
        <f ca="1">MIN(C2:E2)</f>
        <v>1200</v>
      </c>
      <c r="C2" s="2">
        <f ca="1">_xlfn.XLOOKUP(RAND(),Data!$C$2:$C$11,Data!$A$2:$A$11,0,1,1)</f>
        <v>1400</v>
      </c>
      <c r="D2" s="2">
        <f ca="1">_xlfn.XLOOKUP(RAND(),Data!$C$2:$C$11,Data!$A$2:$A$11,0,1,1)</f>
        <v>1500</v>
      </c>
      <c r="E2" s="2">
        <f ca="1">_xlfn.XLOOKUP(RAND(),Data!$C$2:$C$11,Data!$A$2:$A$11,0,1,1)</f>
        <v>1200</v>
      </c>
      <c r="F2" s="2">
        <v>3</v>
      </c>
      <c r="G2" s="2">
        <f ca="1">_xlfn.XLOOKUP(RAND(),Data!$G$2:$G$4,Data!$E$2:$E$4,0,1,1)</f>
        <v>20</v>
      </c>
      <c r="H2" s="2">
        <f>IF(F2=1,Data!$F$7,IF(F2=2,Data!$F$8,Data!$F$9))</f>
        <v>40</v>
      </c>
      <c r="I2" s="2">
        <f ca="1">SUM(G2:H2)</f>
        <v>60</v>
      </c>
      <c r="J2" s="2">
        <f>F2*Data!$F$12</f>
        <v>96</v>
      </c>
      <c r="K2" s="2">
        <f ca="1">((G2+H2)/60)*Data!$F$14</f>
        <v>30</v>
      </c>
      <c r="L2" s="2">
        <f ca="1">I2*Data!$F$13</f>
        <v>600</v>
      </c>
      <c r="M2" s="4">
        <f ca="1">SUM(J2:L2)</f>
        <v>726</v>
      </c>
    </row>
    <row r="3" spans="1:13" x14ac:dyDescent="0.3">
      <c r="A3" s="3">
        <v>2</v>
      </c>
      <c r="B3" s="2">
        <f ca="1">B2+MIN(C3:E3)</f>
        <v>2400</v>
      </c>
      <c r="C3" s="2">
        <f ca="1">_xlfn.XLOOKUP(RAND(),Data!$C$2:$C$11,Data!$A$2:$A$11,0,1,1)</f>
        <v>1900</v>
      </c>
      <c r="D3" s="2">
        <f ca="1">_xlfn.XLOOKUP(RAND(),Data!$C$2:$C$11,Data!$A$2:$A$11,0,1,1)</f>
        <v>1200</v>
      </c>
      <c r="E3" s="2">
        <f ca="1">_xlfn.XLOOKUP(RAND(),Data!$C$2:$C$11,Data!$A$2:$A$11,0,1,1)</f>
        <v>1400</v>
      </c>
      <c r="F3" s="2">
        <v>3</v>
      </c>
      <c r="G3" s="2">
        <f ca="1">_xlfn.XLOOKUP(RAND(),Data!$G$2:$G$4,Data!$E$2:$E$4,0,1,1)</f>
        <v>20</v>
      </c>
      <c r="H3" s="2">
        <f>IF(F3=1,Data!$F$7,IF(F3=2,Data!$F$8,Data!$F$9))</f>
        <v>40</v>
      </c>
      <c r="I3" s="2">
        <f t="shared" ref="I3:I46" ca="1" si="0">SUM(G3:H3)</f>
        <v>60</v>
      </c>
      <c r="J3" s="2">
        <f>F3*Data!$F$12</f>
        <v>96</v>
      </c>
      <c r="K3" s="2">
        <f ca="1">((G3+H3)/60)*Data!$F$14</f>
        <v>30</v>
      </c>
      <c r="L3" s="2">
        <f ca="1">I3*Data!$F$13</f>
        <v>600</v>
      </c>
      <c r="M3" s="4">
        <f t="shared" ref="M3:M46" ca="1" si="1">SUM(J3:L3)</f>
        <v>726</v>
      </c>
    </row>
    <row r="4" spans="1:13" x14ac:dyDescent="0.3">
      <c r="A4" s="3">
        <v>3</v>
      </c>
      <c r="B4" s="2">
        <f t="shared" ref="B4:B46" ca="1" si="2">B3+MIN(C4:E4)</f>
        <v>3600</v>
      </c>
      <c r="C4" s="2">
        <f ca="1">_xlfn.XLOOKUP(RAND(),Data!$C$2:$C$11,Data!$A$2:$A$11,0,1,1)</f>
        <v>1300</v>
      </c>
      <c r="D4" s="2">
        <f ca="1">_xlfn.XLOOKUP(RAND(),Data!$C$2:$C$11,Data!$A$2:$A$11,0,1,1)</f>
        <v>1400</v>
      </c>
      <c r="E4" s="2">
        <f ca="1">_xlfn.XLOOKUP(RAND(),Data!$C$2:$C$11,Data!$A$2:$A$11,0,1,1)</f>
        <v>1200</v>
      </c>
      <c r="F4" s="2">
        <v>3</v>
      </c>
      <c r="G4" s="2">
        <f ca="1">_xlfn.XLOOKUP(RAND(),Data!$G$2:$G$4,Data!$E$2:$E$4,0,1,1)</f>
        <v>20</v>
      </c>
      <c r="H4" s="2">
        <f>IF(F4=1,Data!$F$7,IF(F4=2,Data!$F$8,Data!$F$9))</f>
        <v>40</v>
      </c>
      <c r="I4" s="2">
        <f t="shared" ca="1" si="0"/>
        <v>60</v>
      </c>
      <c r="J4" s="2">
        <f>F4*Data!$F$12</f>
        <v>96</v>
      </c>
      <c r="K4" s="2">
        <f ca="1">((G4+H4)/60)*Data!$F$14</f>
        <v>30</v>
      </c>
      <c r="L4" s="2">
        <f ca="1">I4*Data!$F$13</f>
        <v>600</v>
      </c>
      <c r="M4" s="4">
        <f t="shared" ca="1" si="1"/>
        <v>726</v>
      </c>
    </row>
    <row r="5" spans="1:13" x14ac:dyDescent="0.3">
      <c r="A5" s="3">
        <v>4</v>
      </c>
      <c r="B5" s="2">
        <f t="shared" ca="1" si="2"/>
        <v>4800</v>
      </c>
      <c r="C5" s="2">
        <f ca="1">_xlfn.XLOOKUP(RAND(),Data!$C$2:$C$11,Data!$A$2:$A$11,0,1,1)</f>
        <v>1500</v>
      </c>
      <c r="D5" s="2">
        <f ca="1">_xlfn.XLOOKUP(RAND(),Data!$C$2:$C$11,Data!$A$2:$A$11,0,1,1)</f>
        <v>1200</v>
      </c>
      <c r="E5" s="2">
        <f ca="1">_xlfn.XLOOKUP(RAND(),Data!$C$2:$C$11,Data!$A$2:$A$11,0,1,1)</f>
        <v>1200</v>
      </c>
      <c r="F5" s="2">
        <v>3</v>
      </c>
      <c r="G5" s="2">
        <f ca="1">_xlfn.XLOOKUP(RAND(),Data!$G$2:$G$4,Data!$E$2:$E$4,0,1,1)</f>
        <v>20</v>
      </c>
      <c r="H5" s="2">
        <f>IF(F5=1,Data!$F$7,IF(F5=2,Data!$F$8,Data!$F$9))</f>
        <v>40</v>
      </c>
      <c r="I5" s="2">
        <f t="shared" ca="1" si="0"/>
        <v>60</v>
      </c>
      <c r="J5" s="2">
        <f>F5*Data!$F$12</f>
        <v>96</v>
      </c>
      <c r="K5" s="2">
        <f ca="1">((G5+H5)/60)*Data!$F$14</f>
        <v>30</v>
      </c>
      <c r="L5" s="2">
        <f ca="1">I5*Data!$F$13</f>
        <v>600</v>
      </c>
      <c r="M5" s="4">
        <f t="shared" ca="1" si="1"/>
        <v>726</v>
      </c>
    </row>
    <row r="6" spans="1:13" x14ac:dyDescent="0.3">
      <c r="A6" s="3">
        <v>5</v>
      </c>
      <c r="B6" s="2">
        <f t="shared" ca="1" si="2"/>
        <v>6000</v>
      </c>
      <c r="C6" s="2">
        <f ca="1">_xlfn.XLOOKUP(RAND(),Data!$C$2:$C$11,Data!$A$2:$A$11,0,1,1)</f>
        <v>1200</v>
      </c>
      <c r="D6" s="2">
        <f ca="1">_xlfn.XLOOKUP(RAND(),Data!$C$2:$C$11,Data!$A$2:$A$11,0,1,1)</f>
        <v>1200</v>
      </c>
      <c r="E6" s="2">
        <f ca="1">_xlfn.XLOOKUP(RAND(),Data!$C$2:$C$11,Data!$A$2:$A$11,0,1,1)</f>
        <v>1300</v>
      </c>
      <c r="F6" s="2">
        <v>3</v>
      </c>
      <c r="G6" s="2">
        <f ca="1">_xlfn.XLOOKUP(RAND(),Data!$G$2:$G$4,Data!$E$2:$E$4,0,1,1)</f>
        <v>45</v>
      </c>
      <c r="H6" s="2">
        <f>IF(F6=1,Data!$F$7,IF(F6=2,Data!$F$8,Data!$F$9))</f>
        <v>40</v>
      </c>
      <c r="I6" s="2">
        <f t="shared" ca="1" si="0"/>
        <v>85</v>
      </c>
      <c r="J6" s="2">
        <f>F6*Data!$F$12</f>
        <v>96</v>
      </c>
      <c r="K6" s="2">
        <f ca="1">((G6+H6)/60)*Data!$F$14</f>
        <v>42.5</v>
      </c>
      <c r="L6" s="2">
        <f ca="1">I6*Data!$F$13</f>
        <v>850</v>
      </c>
      <c r="M6" s="4">
        <f t="shared" ca="1" si="1"/>
        <v>988.5</v>
      </c>
    </row>
    <row r="7" spans="1:13" x14ac:dyDescent="0.3">
      <c r="A7" s="3">
        <v>6</v>
      </c>
      <c r="B7" s="2">
        <f t="shared" ca="1" si="2"/>
        <v>7100</v>
      </c>
      <c r="C7" s="2">
        <f ca="1">_xlfn.XLOOKUP(RAND(),Data!$C$2:$C$11,Data!$A$2:$A$11,0,1,1)</f>
        <v>1900</v>
      </c>
      <c r="D7" s="2">
        <f ca="1">_xlfn.XLOOKUP(RAND(),Data!$C$2:$C$11,Data!$A$2:$A$11,0,1,1)</f>
        <v>1800</v>
      </c>
      <c r="E7" s="2">
        <f ca="1">_xlfn.XLOOKUP(RAND(),Data!$C$2:$C$11,Data!$A$2:$A$11,0,1,1)</f>
        <v>1100</v>
      </c>
      <c r="F7" s="2">
        <v>3</v>
      </c>
      <c r="G7" s="2">
        <f ca="1">_xlfn.XLOOKUP(RAND(),Data!$G$2:$G$4,Data!$E$2:$E$4,0,1,1)</f>
        <v>20</v>
      </c>
      <c r="H7" s="2">
        <f>IF(F7=1,Data!$F$7,IF(F7=2,Data!$F$8,Data!$F$9))</f>
        <v>40</v>
      </c>
      <c r="I7" s="2">
        <f t="shared" ca="1" si="0"/>
        <v>60</v>
      </c>
      <c r="J7" s="2">
        <f>F7*Data!$F$12</f>
        <v>96</v>
      </c>
      <c r="K7" s="2">
        <f ca="1">((G7+H7)/60)*Data!$F$14</f>
        <v>30</v>
      </c>
      <c r="L7" s="2">
        <f ca="1">I7*Data!$F$13</f>
        <v>600</v>
      </c>
      <c r="M7" s="4">
        <f t="shared" ca="1" si="1"/>
        <v>726</v>
      </c>
    </row>
    <row r="8" spans="1:13" x14ac:dyDescent="0.3">
      <c r="A8" s="3">
        <v>7</v>
      </c>
      <c r="B8" s="2">
        <f t="shared" ca="1" si="2"/>
        <v>8200</v>
      </c>
      <c r="C8" s="2">
        <f ca="1">_xlfn.XLOOKUP(RAND(),Data!$C$2:$C$11,Data!$A$2:$A$11,0,1,1)</f>
        <v>1100</v>
      </c>
      <c r="D8" s="2">
        <f ca="1">_xlfn.XLOOKUP(RAND(),Data!$C$2:$C$11,Data!$A$2:$A$11,0,1,1)</f>
        <v>1800</v>
      </c>
      <c r="E8" s="2">
        <f ca="1">_xlfn.XLOOKUP(RAND(),Data!$C$2:$C$11,Data!$A$2:$A$11,0,1,1)</f>
        <v>1200</v>
      </c>
      <c r="F8" s="2">
        <v>3</v>
      </c>
      <c r="G8" s="2">
        <f ca="1">_xlfn.XLOOKUP(RAND(),Data!$G$2:$G$4,Data!$E$2:$E$4,0,1,1)</f>
        <v>30</v>
      </c>
      <c r="H8" s="2">
        <f>IF(F8=1,Data!$F$7,IF(F8=2,Data!$F$8,Data!$F$9))</f>
        <v>40</v>
      </c>
      <c r="I8" s="2">
        <f t="shared" ca="1" si="0"/>
        <v>70</v>
      </c>
      <c r="J8" s="2">
        <f>F8*Data!$F$12</f>
        <v>96</v>
      </c>
      <c r="K8" s="2">
        <f ca="1">((G8+H8)/60)*Data!$F$14</f>
        <v>35</v>
      </c>
      <c r="L8" s="2">
        <f ca="1">I8*Data!$F$13</f>
        <v>700</v>
      </c>
      <c r="M8" s="4">
        <f t="shared" ca="1" si="1"/>
        <v>831</v>
      </c>
    </row>
    <row r="9" spans="1:13" x14ac:dyDescent="0.3">
      <c r="A9" s="3">
        <v>8</v>
      </c>
      <c r="B9" s="2">
        <f t="shared" ca="1" si="2"/>
        <v>9200</v>
      </c>
      <c r="C9" s="2">
        <f ca="1">_xlfn.XLOOKUP(RAND(),Data!$C$2:$C$11,Data!$A$2:$A$11,0,1,1)</f>
        <v>1000</v>
      </c>
      <c r="D9" s="2">
        <f ca="1">_xlfn.XLOOKUP(RAND(),Data!$C$2:$C$11,Data!$A$2:$A$11,0,1,1)</f>
        <v>1200</v>
      </c>
      <c r="E9" s="2">
        <f ca="1">_xlfn.XLOOKUP(RAND(),Data!$C$2:$C$11,Data!$A$2:$A$11,0,1,1)</f>
        <v>1200</v>
      </c>
      <c r="F9" s="2">
        <v>3</v>
      </c>
      <c r="G9" s="2">
        <f ca="1">_xlfn.XLOOKUP(RAND(),Data!$G$2:$G$4,Data!$E$2:$E$4,0,1,1)</f>
        <v>30</v>
      </c>
      <c r="H9" s="2">
        <f>IF(F9=1,Data!$F$7,IF(F9=2,Data!$F$8,Data!$F$9))</f>
        <v>40</v>
      </c>
      <c r="I9" s="2">
        <f t="shared" ca="1" si="0"/>
        <v>70</v>
      </c>
      <c r="J9" s="2">
        <f>F9*Data!$F$12</f>
        <v>96</v>
      </c>
      <c r="K9" s="2">
        <f ca="1">((G9+H9)/60)*Data!$F$14</f>
        <v>35</v>
      </c>
      <c r="L9" s="2">
        <f ca="1">I9*Data!$F$13</f>
        <v>700</v>
      </c>
      <c r="M9" s="4">
        <f t="shared" ca="1" si="1"/>
        <v>831</v>
      </c>
    </row>
    <row r="10" spans="1:13" x14ac:dyDescent="0.3">
      <c r="A10" s="3">
        <v>9</v>
      </c>
      <c r="B10" s="2">
        <f t="shared" ca="1" si="2"/>
        <v>10400</v>
      </c>
      <c r="C10" s="2">
        <f ca="1">_xlfn.XLOOKUP(RAND(),Data!$C$2:$C$11,Data!$A$2:$A$11,0,1,1)</f>
        <v>1700</v>
      </c>
      <c r="D10" s="2">
        <f ca="1">_xlfn.XLOOKUP(RAND(),Data!$C$2:$C$11,Data!$A$2:$A$11,0,1,1)</f>
        <v>1200</v>
      </c>
      <c r="E10" s="2">
        <f ca="1">_xlfn.XLOOKUP(RAND(),Data!$C$2:$C$11,Data!$A$2:$A$11,0,1,1)</f>
        <v>1200</v>
      </c>
      <c r="F10" s="2">
        <v>3</v>
      </c>
      <c r="G10" s="2">
        <f ca="1">_xlfn.XLOOKUP(RAND(),Data!$G$2:$G$4,Data!$E$2:$E$4,0,1,1)</f>
        <v>45</v>
      </c>
      <c r="H10" s="2">
        <f>IF(F10=1,Data!$F$7,IF(F10=2,Data!$F$8,Data!$F$9))</f>
        <v>40</v>
      </c>
      <c r="I10" s="2">
        <f t="shared" ca="1" si="0"/>
        <v>85</v>
      </c>
      <c r="J10" s="2">
        <f>F10*Data!$F$12</f>
        <v>96</v>
      </c>
      <c r="K10" s="2">
        <f ca="1">((G10+H10)/60)*Data!$F$14</f>
        <v>42.5</v>
      </c>
      <c r="L10" s="2">
        <f ca="1">I10*Data!$F$13</f>
        <v>850</v>
      </c>
      <c r="M10" s="4">
        <f t="shared" ca="1" si="1"/>
        <v>988.5</v>
      </c>
    </row>
    <row r="11" spans="1:13" x14ac:dyDescent="0.3">
      <c r="A11" s="3">
        <v>10</v>
      </c>
      <c r="B11" s="2">
        <f t="shared" ca="1" si="2"/>
        <v>11500</v>
      </c>
      <c r="C11" s="2">
        <f ca="1">_xlfn.XLOOKUP(RAND(),Data!$C$2:$C$11,Data!$A$2:$A$11,0,1,1)</f>
        <v>1100</v>
      </c>
      <c r="D11" s="2">
        <f ca="1">_xlfn.XLOOKUP(RAND(),Data!$C$2:$C$11,Data!$A$2:$A$11,0,1,1)</f>
        <v>1400</v>
      </c>
      <c r="E11" s="2">
        <f ca="1">_xlfn.XLOOKUP(RAND(),Data!$C$2:$C$11,Data!$A$2:$A$11,0,1,1)</f>
        <v>1200</v>
      </c>
      <c r="F11" s="2">
        <v>3</v>
      </c>
      <c r="G11" s="2">
        <f ca="1">_xlfn.XLOOKUP(RAND(),Data!$G$2:$G$4,Data!$E$2:$E$4,0,1,1)</f>
        <v>30</v>
      </c>
      <c r="H11" s="2">
        <f>IF(F11=1,Data!$F$7,IF(F11=2,Data!$F$8,Data!$F$9))</f>
        <v>40</v>
      </c>
      <c r="I11" s="2">
        <f t="shared" ca="1" si="0"/>
        <v>70</v>
      </c>
      <c r="J11" s="2">
        <f>F11*Data!$F$12</f>
        <v>96</v>
      </c>
      <c r="K11" s="2">
        <f ca="1">((G11+H11)/60)*Data!$F$14</f>
        <v>35</v>
      </c>
      <c r="L11" s="2">
        <f ca="1">I11*Data!$F$13</f>
        <v>700</v>
      </c>
      <c r="M11" s="4">
        <f t="shared" ca="1" si="1"/>
        <v>831</v>
      </c>
    </row>
    <row r="12" spans="1:13" x14ac:dyDescent="0.3">
      <c r="A12" s="3">
        <v>11</v>
      </c>
      <c r="B12" s="2">
        <f t="shared" ca="1" si="2"/>
        <v>12600</v>
      </c>
      <c r="C12" s="2">
        <f ca="1">_xlfn.XLOOKUP(RAND(),Data!$C$2:$C$11,Data!$A$2:$A$11,0,1,1)</f>
        <v>1100</v>
      </c>
      <c r="D12" s="2">
        <f ca="1">_xlfn.XLOOKUP(RAND(),Data!$C$2:$C$11,Data!$A$2:$A$11,0,1,1)</f>
        <v>1500</v>
      </c>
      <c r="E12" s="2">
        <f ca="1">_xlfn.XLOOKUP(RAND(),Data!$C$2:$C$11,Data!$A$2:$A$11,0,1,1)</f>
        <v>1100</v>
      </c>
      <c r="F12" s="2">
        <v>3</v>
      </c>
      <c r="G12" s="2">
        <f ca="1">_xlfn.XLOOKUP(RAND(),Data!$G$2:$G$4,Data!$E$2:$E$4,0,1,1)</f>
        <v>30</v>
      </c>
      <c r="H12" s="2">
        <f>IF(F12=1,Data!$F$7,IF(F12=2,Data!$F$8,Data!$F$9))</f>
        <v>40</v>
      </c>
      <c r="I12" s="2">
        <f t="shared" ca="1" si="0"/>
        <v>70</v>
      </c>
      <c r="J12" s="2">
        <f>F12*Data!$F$12</f>
        <v>96</v>
      </c>
      <c r="K12" s="2">
        <f ca="1">((G12+H12)/60)*Data!$F$14</f>
        <v>35</v>
      </c>
      <c r="L12" s="2">
        <f ca="1">I12*Data!$F$13</f>
        <v>700</v>
      </c>
      <c r="M12" s="4">
        <f t="shared" ca="1" si="1"/>
        <v>831</v>
      </c>
    </row>
    <row r="13" spans="1:13" x14ac:dyDescent="0.3">
      <c r="A13" s="3">
        <v>12</v>
      </c>
      <c r="B13" s="2">
        <f t="shared" ca="1" si="2"/>
        <v>13600</v>
      </c>
      <c r="C13" s="2">
        <f ca="1">_xlfn.XLOOKUP(RAND(),Data!$C$2:$C$11,Data!$A$2:$A$11,0,1,1)</f>
        <v>1100</v>
      </c>
      <c r="D13" s="2">
        <f ca="1">_xlfn.XLOOKUP(RAND(),Data!$C$2:$C$11,Data!$A$2:$A$11,0,1,1)</f>
        <v>1000</v>
      </c>
      <c r="E13" s="2">
        <f ca="1">_xlfn.XLOOKUP(RAND(),Data!$C$2:$C$11,Data!$A$2:$A$11,0,1,1)</f>
        <v>1200</v>
      </c>
      <c r="F13" s="2">
        <v>3</v>
      </c>
      <c r="G13" s="2">
        <f ca="1">_xlfn.XLOOKUP(RAND(),Data!$G$2:$G$4,Data!$E$2:$E$4,0,1,1)</f>
        <v>30</v>
      </c>
      <c r="H13" s="2">
        <f>IF(F13=1,Data!$F$7,IF(F13=2,Data!$F$8,Data!$F$9))</f>
        <v>40</v>
      </c>
      <c r="I13" s="2">
        <f t="shared" ca="1" si="0"/>
        <v>70</v>
      </c>
      <c r="J13" s="2">
        <f>F13*Data!$F$12</f>
        <v>96</v>
      </c>
      <c r="K13" s="2">
        <f ca="1">((G13+H13)/60)*Data!$F$14</f>
        <v>35</v>
      </c>
      <c r="L13" s="2">
        <f ca="1">I13*Data!$F$13</f>
        <v>700</v>
      </c>
      <c r="M13" s="4">
        <f t="shared" ca="1" si="1"/>
        <v>831</v>
      </c>
    </row>
    <row r="14" spans="1:13" x14ac:dyDescent="0.3">
      <c r="A14" s="3">
        <v>13</v>
      </c>
      <c r="B14" s="2">
        <f t="shared" ca="1" si="2"/>
        <v>14700</v>
      </c>
      <c r="C14" s="2">
        <f ca="1">_xlfn.XLOOKUP(RAND(),Data!$C$2:$C$11,Data!$A$2:$A$11,0,1,1)</f>
        <v>1200</v>
      </c>
      <c r="D14" s="2">
        <f ca="1">_xlfn.XLOOKUP(RAND(),Data!$C$2:$C$11,Data!$A$2:$A$11,0,1,1)</f>
        <v>1100</v>
      </c>
      <c r="E14" s="2">
        <f ca="1">_xlfn.XLOOKUP(RAND(),Data!$C$2:$C$11,Data!$A$2:$A$11,0,1,1)</f>
        <v>1300</v>
      </c>
      <c r="F14" s="2">
        <v>3</v>
      </c>
      <c r="G14" s="2">
        <f ca="1">_xlfn.XLOOKUP(RAND(),Data!$G$2:$G$4,Data!$E$2:$E$4,0,1,1)</f>
        <v>45</v>
      </c>
      <c r="H14" s="2">
        <f>IF(F14=1,Data!$F$7,IF(F14=2,Data!$F$8,Data!$F$9))</f>
        <v>40</v>
      </c>
      <c r="I14" s="2">
        <f t="shared" ca="1" si="0"/>
        <v>85</v>
      </c>
      <c r="J14" s="2">
        <f>F14*Data!$F$12</f>
        <v>96</v>
      </c>
      <c r="K14" s="2">
        <f ca="1">((G14+H14)/60)*Data!$F$14</f>
        <v>42.5</v>
      </c>
      <c r="L14" s="2">
        <f ca="1">I14*Data!$F$13</f>
        <v>850</v>
      </c>
      <c r="M14" s="4">
        <f t="shared" ca="1" si="1"/>
        <v>988.5</v>
      </c>
    </row>
    <row r="15" spans="1:13" x14ac:dyDescent="0.3">
      <c r="A15" s="3">
        <v>14</v>
      </c>
      <c r="B15" s="2">
        <f t="shared" ca="1" si="2"/>
        <v>15900</v>
      </c>
      <c r="C15" s="2">
        <f ca="1">_xlfn.XLOOKUP(RAND(),Data!$C$2:$C$11,Data!$A$2:$A$11,0,1,1)</f>
        <v>1200</v>
      </c>
      <c r="D15" s="2">
        <f ca="1">_xlfn.XLOOKUP(RAND(),Data!$C$2:$C$11,Data!$A$2:$A$11,0,1,1)</f>
        <v>1800</v>
      </c>
      <c r="E15" s="2">
        <f ca="1">_xlfn.XLOOKUP(RAND(),Data!$C$2:$C$11,Data!$A$2:$A$11,0,1,1)</f>
        <v>1400</v>
      </c>
      <c r="F15" s="2">
        <v>3</v>
      </c>
      <c r="G15" s="2">
        <f ca="1">_xlfn.XLOOKUP(RAND(),Data!$G$2:$G$4,Data!$E$2:$E$4,0,1,1)</f>
        <v>20</v>
      </c>
      <c r="H15" s="2">
        <f>IF(F15=1,Data!$F$7,IF(F15=2,Data!$F$8,Data!$F$9))</f>
        <v>40</v>
      </c>
      <c r="I15" s="2">
        <f t="shared" ca="1" si="0"/>
        <v>60</v>
      </c>
      <c r="J15" s="2">
        <f>F15*Data!$F$12</f>
        <v>96</v>
      </c>
      <c r="K15" s="2">
        <f ca="1">((G15+H15)/60)*Data!$F$14</f>
        <v>30</v>
      </c>
      <c r="L15" s="2">
        <f ca="1">I15*Data!$F$13</f>
        <v>600</v>
      </c>
      <c r="M15" s="4">
        <f t="shared" ca="1" si="1"/>
        <v>726</v>
      </c>
    </row>
    <row r="16" spans="1:13" x14ac:dyDescent="0.3">
      <c r="A16" s="3">
        <v>15</v>
      </c>
      <c r="B16" s="2">
        <f t="shared" ca="1" si="2"/>
        <v>17100</v>
      </c>
      <c r="C16" s="2">
        <f ca="1">_xlfn.XLOOKUP(RAND(),Data!$C$2:$C$11,Data!$A$2:$A$11,0,1,1)</f>
        <v>1400</v>
      </c>
      <c r="D16" s="2">
        <f ca="1">_xlfn.XLOOKUP(RAND(),Data!$C$2:$C$11,Data!$A$2:$A$11,0,1,1)</f>
        <v>1200</v>
      </c>
      <c r="E16" s="2">
        <f ca="1">_xlfn.XLOOKUP(RAND(),Data!$C$2:$C$11,Data!$A$2:$A$11,0,1,1)</f>
        <v>1200</v>
      </c>
      <c r="F16" s="2">
        <v>3</v>
      </c>
      <c r="G16" s="2">
        <f ca="1">_xlfn.XLOOKUP(RAND(),Data!$G$2:$G$4,Data!$E$2:$E$4,0,1,1)</f>
        <v>20</v>
      </c>
      <c r="H16" s="2">
        <f>IF(F16=1,Data!$F$7,IF(F16=2,Data!$F$8,Data!$F$9))</f>
        <v>40</v>
      </c>
      <c r="I16" s="2">
        <f t="shared" ca="1" si="0"/>
        <v>60</v>
      </c>
      <c r="J16" s="2">
        <f>F16*Data!$F$12</f>
        <v>96</v>
      </c>
      <c r="K16" s="2">
        <f ca="1">((G16+H16)/60)*Data!$F$14</f>
        <v>30</v>
      </c>
      <c r="L16" s="2">
        <f ca="1">I16*Data!$F$13</f>
        <v>600</v>
      </c>
      <c r="M16" s="4">
        <f t="shared" ca="1" si="1"/>
        <v>726</v>
      </c>
    </row>
    <row r="17" spans="1:13" x14ac:dyDescent="0.3">
      <c r="A17" s="3">
        <v>16</v>
      </c>
      <c r="B17" s="2">
        <f t="shared" ca="1" si="2"/>
        <v>18400</v>
      </c>
      <c r="C17" s="2">
        <f ca="1">_xlfn.XLOOKUP(RAND(),Data!$C$2:$C$11,Data!$A$2:$A$11,0,1,1)</f>
        <v>1900</v>
      </c>
      <c r="D17" s="2">
        <f ca="1">_xlfn.XLOOKUP(RAND(),Data!$C$2:$C$11,Data!$A$2:$A$11,0,1,1)</f>
        <v>1300</v>
      </c>
      <c r="E17" s="2">
        <f ca="1">_xlfn.XLOOKUP(RAND(),Data!$C$2:$C$11,Data!$A$2:$A$11,0,1,1)</f>
        <v>1500</v>
      </c>
      <c r="F17" s="2">
        <v>3</v>
      </c>
      <c r="G17" s="2">
        <f ca="1">_xlfn.XLOOKUP(RAND(),Data!$G$2:$G$4,Data!$E$2:$E$4,0,1,1)</f>
        <v>20</v>
      </c>
      <c r="H17" s="2">
        <f>IF(F17=1,Data!$F$7,IF(F17=2,Data!$F$8,Data!$F$9))</f>
        <v>40</v>
      </c>
      <c r="I17" s="2">
        <f t="shared" ca="1" si="0"/>
        <v>60</v>
      </c>
      <c r="J17" s="2">
        <f>F17*Data!$F$12</f>
        <v>96</v>
      </c>
      <c r="K17" s="2">
        <f ca="1">((G17+H17)/60)*Data!$F$14</f>
        <v>30</v>
      </c>
      <c r="L17" s="2">
        <f ca="1">I17*Data!$F$13</f>
        <v>600</v>
      </c>
      <c r="M17" s="4">
        <f t="shared" ca="1" si="1"/>
        <v>726</v>
      </c>
    </row>
    <row r="18" spans="1:13" x14ac:dyDescent="0.3">
      <c r="A18" s="3">
        <v>17</v>
      </c>
      <c r="B18" s="2">
        <f t="shared" ca="1" si="2"/>
        <v>19600</v>
      </c>
      <c r="C18" s="2">
        <f ca="1">_xlfn.XLOOKUP(RAND(),Data!$C$2:$C$11,Data!$A$2:$A$11,0,1,1)</f>
        <v>1400</v>
      </c>
      <c r="D18" s="2">
        <f ca="1">_xlfn.XLOOKUP(RAND(),Data!$C$2:$C$11,Data!$A$2:$A$11,0,1,1)</f>
        <v>1300</v>
      </c>
      <c r="E18" s="2">
        <f ca="1">_xlfn.XLOOKUP(RAND(),Data!$C$2:$C$11,Data!$A$2:$A$11,0,1,1)</f>
        <v>1200</v>
      </c>
      <c r="F18" s="2">
        <v>3</v>
      </c>
      <c r="G18" s="2">
        <f ca="1">_xlfn.XLOOKUP(RAND(),Data!$G$2:$G$4,Data!$E$2:$E$4,0,1,1)</f>
        <v>30</v>
      </c>
      <c r="H18" s="2">
        <f>IF(F18=1,Data!$F$7,IF(F18=2,Data!$F$8,Data!$F$9))</f>
        <v>40</v>
      </c>
      <c r="I18" s="2">
        <f t="shared" ca="1" si="0"/>
        <v>70</v>
      </c>
      <c r="J18" s="2">
        <f>F18*Data!$F$12</f>
        <v>96</v>
      </c>
      <c r="K18" s="2">
        <f ca="1">((G18+H18)/60)*Data!$F$14</f>
        <v>35</v>
      </c>
      <c r="L18" s="2">
        <f ca="1">I18*Data!$F$13</f>
        <v>700</v>
      </c>
      <c r="M18" s="4">
        <f t="shared" ca="1" si="1"/>
        <v>831</v>
      </c>
    </row>
    <row r="19" spans="1:13" x14ac:dyDescent="0.3">
      <c r="A19" s="3">
        <v>18</v>
      </c>
      <c r="B19" s="2">
        <f t="shared" ca="1" si="2"/>
        <v>20800</v>
      </c>
      <c r="C19" s="2">
        <f ca="1">_xlfn.XLOOKUP(RAND(),Data!$C$2:$C$11,Data!$A$2:$A$11,0,1,1)</f>
        <v>1300</v>
      </c>
      <c r="D19" s="2">
        <f ca="1">_xlfn.XLOOKUP(RAND(),Data!$C$2:$C$11,Data!$A$2:$A$11,0,1,1)</f>
        <v>1200</v>
      </c>
      <c r="E19" s="2">
        <f ca="1">_xlfn.XLOOKUP(RAND(),Data!$C$2:$C$11,Data!$A$2:$A$11,0,1,1)</f>
        <v>1300</v>
      </c>
      <c r="F19" s="2">
        <v>3</v>
      </c>
      <c r="G19" s="2">
        <f ca="1">_xlfn.XLOOKUP(RAND(),Data!$G$2:$G$4,Data!$E$2:$E$4,0,1,1)</f>
        <v>20</v>
      </c>
      <c r="H19" s="2">
        <f>IF(F19=1,Data!$F$7,IF(F19=2,Data!$F$8,Data!$F$9))</f>
        <v>40</v>
      </c>
      <c r="I19" s="2">
        <f t="shared" ca="1" si="0"/>
        <v>60</v>
      </c>
      <c r="J19" s="2">
        <f>F19*Data!$F$12</f>
        <v>96</v>
      </c>
      <c r="K19" s="2">
        <f ca="1">((G19+H19)/60)*Data!$F$14</f>
        <v>30</v>
      </c>
      <c r="L19" s="2">
        <f ca="1">I19*Data!$F$13</f>
        <v>600</v>
      </c>
      <c r="M19" s="4">
        <f t="shared" ca="1" si="1"/>
        <v>726</v>
      </c>
    </row>
    <row r="20" spans="1:13" x14ac:dyDescent="0.3">
      <c r="A20" s="3">
        <v>19</v>
      </c>
      <c r="B20" s="2">
        <f t="shared" ca="1" si="2"/>
        <v>21900</v>
      </c>
      <c r="C20" s="2">
        <f ca="1">_xlfn.XLOOKUP(RAND(),Data!$C$2:$C$11,Data!$A$2:$A$11,0,1,1)</f>
        <v>1100</v>
      </c>
      <c r="D20" s="2">
        <f ca="1">_xlfn.XLOOKUP(RAND(),Data!$C$2:$C$11,Data!$A$2:$A$11,0,1,1)</f>
        <v>1300</v>
      </c>
      <c r="E20" s="2">
        <f ca="1">_xlfn.XLOOKUP(RAND(),Data!$C$2:$C$11,Data!$A$2:$A$11,0,1,1)</f>
        <v>1200</v>
      </c>
      <c r="F20" s="2">
        <v>3</v>
      </c>
      <c r="G20" s="2">
        <f ca="1">_xlfn.XLOOKUP(RAND(),Data!$G$2:$G$4,Data!$E$2:$E$4,0,1,1)</f>
        <v>20</v>
      </c>
      <c r="H20" s="2">
        <f>IF(F20=1,Data!$F$7,IF(F20=2,Data!$F$8,Data!$F$9))</f>
        <v>40</v>
      </c>
      <c r="I20" s="2">
        <f t="shared" ca="1" si="0"/>
        <v>60</v>
      </c>
      <c r="J20" s="2">
        <f>F20*Data!$F$12</f>
        <v>96</v>
      </c>
      <c r="K20" s="2">
        <f ca="1">((G20+H20)/60)*Data!$F$14</f>
        <v>30</v>
      </c>
      <c r="L20" s="2">
        <f ca="1">I20*Data!$F$13</f>
        <v>600</v>
      </c>
      <c r="M20" s="4">
        <f t="shared" ca="1" si="1"/>
        <v>726</v>
      </c>
    </row>
    <row r="21" spans="1:13" x14ac:dyDescent="0.3">
      <c r="A21" s="3">
        <v>20</v>
      </c>
      <c r="B21" s="2">
        <f t="shared" ca="1" si="2"/>
        <v>22900</v>
      </c>
      <c r="C21" s="2">
        <f ca="1">_xlfn.XLOOKUP(RAND(),Data!$C$2:$C$11,Data!$A$2:$A$11,0,1,1)</f>
        <v>1500</v>
      </c>
      <c r="D21" s="2">
        <f ca="1">_xlfn.XLOOKUP(RAND(),Data!$C$2:$C$11,Data!$A$2:$A$11,0,1,1)</f>
        <v>1500</v>
      </c>
      <c r="E21" s="2">
        <f ca="1">_xlfn.XLOOKUP(RAND(),Data!$C$2:$C$11,Data!$A$2:$A$11,0,1,1)</f>
        <v>1000</v>
      </c>
      <c r="F21" s="2">
        <v>3</v>
      </c>
      <c r="G21" s="2">
        <f ca="1">_xlfn.XLOOKUP(RAND(),Data!$G$2:$G$4,Data!$E$2:$E$4,0,1,1)</f>
        <v>30</v>
      </c>
      <c r="H21" s="2">
        <f>IF(F21=1,Data!$F$7,IF(F21=2,Data!$F$8,Data!$F$9))</f>
        <v>40</v>
      </c>
      <c r="I21" s="2">
        <f t="shared" ca="1" si="0"/>
        <v>70</v>
      </c>
      <c r="J21" s="2">
        <f>F21*Data!$F$12</f>
        <v>96</v>
      </c>
      <c r="K21" s="2">
        <f ca="1">((G21+H21)/60)*Data!$F$14</f>
        <v>35</v>
      </c>
      <c r="L21" s="2">
        <f ca="1">I21*Data!$F$13</f>
        <v>700</v>
      </c>
      <c r="M21" s="4">
        <f t="shared" ca="1" si="1"/>
        <v>831</v>
      </c>
    </row>
    <row r="22" spans="1:13" x14ac:dyDescent="0.3">
      <c r="A22" s="3">
        <v>21</v>
      </c>
      <c r="B22" s="2">
        <f t="shared" ca="1" si="2"/>
        <v>23900</v>
      </c>
      <c r="C22" s="2">
        <f ca="1">_xlfn.XLOOKUP(RAND(),Data!$C$2:$C$11,Data!$A$2:$A$11,0,1,1)</f>
        <v>1500</v>
      </c>
      <c r="D22" s="2">
        <f ca="1">_xlfn.XLOOKUP(RAND(),Data!$C$2:$C$11,Data!$A$2:$A$11,0,1,1)</f>
        <v>1000</v>
      </c>
      <c r="E22" s="2">
        <f ca="1">_xlfn.XLOOKUP(RAND(),Data!$C$2:$C$11,Data!$A$2:$A$11,0,1,1)</f>
        <v>1100</v>
      </c>
      <c r="F22" s="2">
        <v>3</v>
      </c>
      <c r="G22" s="2">
        <f ca="1">_xlfn.XLOOKUP(RAND(),Data!$G$2:$G$4,Data!$E$2:$E$4,0,1,1)</f>
        <v>20</v>
      </c>
      <c r="H22" s="2">
        <f>IF(F22=1,Data!$F$7,IF(F22=2,Data!$F$8,Data!$F$9))</f>
        <v>40</v>
      </c>
      <c r="I22" s="2">
        <f t="shared" ca="1" si="0"/>
        <v>60</v>
      </c>
      <c r="J22" s="2">
        <f>F22*Data!$F$12</f>
        <v>96</v>
      </c>
      <c r="K22" s="2">
        <f ca="1">((G22+H22)/60)*Data!$F$14</f>
        <v>30</v>
      </c>
      <c r="L22" s="2">
        <f ca="1">I22*Data!$F$13</f>
        <v>600</v>
      </c>
      <c r="M22" s="4">
        <f t="shared" ca="1" si="1"/>
        <v>726</v>
      </c>
    </row>
    <row r="23" spans="1:13" x14ac:dyDescent="0.3">
      <c r="A23" s="3">
        <v>22</v>
      </c>
      <c r="B23" s="2">
        <f t="shared" ca="1" si="2"/>
        <v>25100</v>
      </c>
      <c r="C23" s="2">
        <f ca="1">_xlfn.XLOOKUP(RAND(),Data!$C$2:$C$11,Data!$A$2:$A$11,0,1,1)</f>
        <v>1500</v>
      </c>
      <c r="D23" s="2">
        <f ca="1">_xlfn.XLOOKUP(RAND(),Data!$C$2:$C$11,Data!$A$2:$A$11,0,1,1)</f>
        <v>1600</v>
      </c>
      <c r="E23" s="2">
        <f ca="1">_xlfn.XLOOKUP(RAND(),Data!$C$2:$C$11,Data!$A$2:$A$11,0,1,1)</f>
        <v>1200</v>
      </c>
      <c r="F23" s="2">
        <v>3</v>
      </c>
      <c r="G23" s="2">
        <f ca="1">_xlfn.XLOOKUP(RAND(),Data!$G$2:$G$4,Data!$E$2:$E$4,0,1,1)</f>
        <v>30</v>
      </c>
      <c r="H23" s="2">
        <f>IF(F23=1,Data!$F$7,IF(F23=2,Data!$F$8,Data!$F$9))</f>
        <v>40</v>
      </c>
      <c r="I23" s="2">
        <f t="shared" ca="1" si="0"/>
        <v>70</v>
      </c>
      <c r="J23" s="2">
        <f>F23*Data!$F$12</f>
        <v>96</v>
      </c>
      <c r="K23" s="2">
        <f ca="1">((G23+H23)/60)*Data!$F$14</f>
        <v>35</v>
      </c>
      <c r="L23" s="2">
        <f ca="1">I23*Data!$F$13</f>
        <v>700</v>
      </c>
      <c r="M23" s="4">
        <f t="shared" ca="1" si="1"/>
        <v>831</v>
      </c>
    </row>
    <row r="24" spans="1:13" x14ac:dyDescent="0.3">
      <c r="A24" s="3">
        <v>23</v>
      </c>
      <c r="B24" s="2">
        <f t="shared" ca="1" si="2"/>
        <v>26200</v>
      </c>
      <c r="C24" s="2">
        <f ca="1">_xlfn.XLOOKUP(RAND(),Data!$C$2:$C$11,Data!$A$2:$A$11,0,1,1)</f>
        <v>1200</v>
      </c>
      <c r="D24" s="2">
        <f ca="1">_xlfn.XLOOKUP(RAND(),Data!$C$2:$C$11,Data!$A$2:$A$11,0,1,1)</f>
        <v>1100</v>
      </c>
      <c r="E24" s="2">
        <f ca="1">_xlfn.XLOOKUP(RAND(),Data!$C$2:$C$11,Data!$A$2:$A$11,0,1,1)</f>
        <v>1200</v>
      </c>
      <c r="F24" s="2">
        <v>3</v>
      </c>
      <c r="G24" s="2">
        <f ca="1">_xlfn.XLOOKUP(RAND(),Data!$G$2:$G$4,Data!$E$2:$E$4,0,1,1)</f>
        <v>20</v>
      </c>
      <c r="H24" s="2">
        <f>IF(F24=1,Data!$F$7,IF(F24=2,Data!$F$8,Data!$F$9))</f>
        <v>40</v>
      </c>
      <c r="I24" s="2">
        <f t="shared" ca="1" si="0"/>
        <v>60</v>
      </c>
      <c r="J24" s="2">
        <f>F24*Data!$F$12</f>
        <v>96</v>
      </c>
      <c r="K24" s="2">
        <f ca="1">((G24+H24)/60)*Data!$F$14</f>
        <v>30</v>
      </c>
      <c r="L24" s="2">
        <f ca="1">I24*Data!$F$13</f>
        <v>600</v>
      </c>
      <c r="M24" s="4">
        <f t="shared" ca="1" si="1"/>
        <v>726</v>
      </c>
    </row>
    <row r="25" spans="1:13" x14ac:dyDescent="0.3">
      <c r="A25" s="3">
        <v>24</v>
      </c>
      <c r="B25" s="2">
        <f t="shared" ca="1" si="2"/>
        <v>27500</v>
      </c>
      <c r="C25" s="2">
        <f ca="1">_xlfn.XLOOKUP(RAND(),Data!$C$2:$C$11,Data!$A$2:$A$11,0,1,1)</f>
        <v>1400</v>
      </c>
      <c r="D25" s="2">
        <f ca="1">_xlfn.XLOOKUP(RAND(),Data!$C$2:$C$11,Data!$A$2:$A$11,0,1,1)</f>
        <v>1300</v>
      </c>
      <c r="E25" s="2">
        <f ca="1">_xlfn.XLOOKUP(RAND(),Data!$C$2:$C$11,Data!$A$2:$A$11,0,1,1)</f>
        <v>1500</v>
      </c>
      <c r="F25" s="2">
        <v>3</v>
      </c>
      <c r="G25" s="2">
        <f ca="1">_xlfn.XLOOKUP(RAND(),Data!$G$2:$G$4,Data!$E$2:$E$4,0,1,1)</f>
        <v>45</v>
      </c>
      <c r="H25" s="2">
        <f>IF(F25=1,Data!$F$7,IF(F25=2,Data!$F$8,Data!$F$9))</f>
        <v>40</v>
      </c>
      <c r="I25" s="2">
        <f t="shared" ca="1" si="0"/>
        <v>85</v>
      </c>
      <c r="J25" s="2">
        <f>F25*Data!$F$12</f>
        <v>96</v>
      </c>
      <c r="K25" s="2">
        <f ca="1">((G25+H25)/60)*Data!$F$14</f>
        <v>42.5</v>
      </c>
      <c r="L25" s="2">
        <f ca="1">I25*Data!$F$13</f>
        <v>850</v>
      </c>
      <c r="M25" s="4">
        <f t="shared" ca="1" si="1"/>
        <v>988.5</v>
      </c>
    </row>
    <row r="26" spans="1:13" x14ac:dyDescent="0.3">
      <c r="A26" s="3">
        <v>25</v>
      </c>
      <c r="B26" s="2">
        <f t="shared" ca="1" si="2"/>
        <v>28500</v>
      </c>
      <c r="C26" s="2">
        <f ca="1">_xlfn.XLOOKUP(RAND(),Data!$C$2:$C$11,Data!$A$2:$A$11,0,1,1)</f>
        <v>1700</v>
      </c>
      <c r="D26" s="2">
        <f ca="1">_xlfn.XLOOKUP(RAND(),Data!$C$2:$C$11,Data!$A$2:$A$11,0,1,1)</f>
        <v>1500</v>
      </c>
      <c r="E26" s="2">
        <f ca="1">_xlfn.XLOOKUP(RAND(),Data!$C$2:$C$11,Data!$A$2:$A$11,0,1,1)</f>
        <v>1000</v>
      </c>
      <c r="F26" s="2">
        <v>3</v>
      </c>
      <c r="G26" s="2">
        <f ca="1">_xlfn.XLOOKUP(RAND(),Data!$G$2:$G$4,Data!$E$2:$E$4,0,1,1)</f>
        <v>30</v>
      </c>
      <c r="H26" s="2">
        <f>IF(F26=1,Data!$F$7,IF(F26=2,Data!$F$8,Data!$F$9))</f>
        <v>40</v>
      </c>
      <c r="I26" s="2">
        <f t="shared" ca="1" si="0"/>
        <v>70</v>
      </c>
      <c r="J26" s="2">
        <f>F26*Data!$F$12</f>
        <v>96</v>
      </c>
      <c r="K26" s="2">
        <f ca="1">((G26+H26)/60)*Data!$F$14</f>
        <v>35</v>
      </c>
      <c r="L26" s="2">
        <f ca="1">I26*Data!$F$13</f>
        <v>700</v>
      </c>
      <c r="M26" s="4">
        <f t="shared" ca="1" si="1"/>
        <v>831</v>
      </c>
    </row>
    <row r="27" spans="1:13" x14ac:dyDescent="0.3">
      <c r="A27" s="3">
        <v>26</v>
      </c>
      <c r="B27" s="2">
        <f t="shared" ca="1" si="2"/>
        <v>29700</v>
      </c>
      <c r="C27" s="2">
        <f ca="1">_xlfn.XLOOKUP(RAND(),Data!$C$2:$C$11,Data!$A$2:$A$11,0,1,1)</f>
        <v>1200</v>
      </c>
      <c r="D27" s="2">
        <f ca="1">_xlfn.XLOOKUP(RAND(),Data!$C$2:$C$11,Data!$A$2:$A$11,0,1,1)</f>
        <v>1800</v>
      </c>
      <c r="E27" s="2">
        <f ca="1">_xlfn.XLOOKUP(RAND(),Data!$C$2:$C$11,Data!$A$2:$A$11,0,1,1)</f>
        <v>1500</v>
      </c>
      <c r="F27" s="2">
        <v>3</v>
      </c>
      <c r="G27" s="2">
        <f ca="1">_xlfn.XLOOKUP(RAND(),Data!$G$2:$G$4,Data!$E$2:$E$4,0,1,1)</f>
        <v>45</v>
      </c>
      <c r="H27" s="2">
        <f>IF(F27=1,Data!$F$7,IF(F27=2,Data!$F$8,Data!$F$9))</f>
        <v>40</v>
      </c>
      <c r="I27" s="2">
        <f t="shared" ca="1" si="0"/>
        <v>85</v>
      </c>
      <c r="J27" s="2">
        <f>F27*Data!$F$12</f>
        <v>96</v>
      </c>
      <c r="K27" s="2">
        <f ca="1">((G27+H27)/60)*Data!$F$14</f>
        <v>42.5</v>
      </c>
      <c r="L27" s="2">
        <f ca="1">I27*Data!$F$13</f>
        <v>850</v>
      </c>
      <c r="M27" s="4">
        <f t="shared" ca="1" si="1"/>
        <v>988.5</v>
      </c>
    </row>
    <row r="28" spans="1:13" x14ac:dyDescent="0.3">
      <c r="A28" s="3">
        <v>27</v>
      </c>
      <c r="B28" s="2">
        <f t="shared" ca="1" si="2"/>
        <v>30900</v>
      </c>
      <c r="C28" s="2">
        <f ca="1">_xlfn.XLOOKUP(RAND(),Data!$C$2:$C$11,Data!$A$2:$A$11,0,1,1)</f>
        <v>1300</v>
      </c>
      <c r="D28" s="2">
        <f ca="1">_xlfn.XLOOKUP(RAND(),Data!$C$2:$C$11,Data!$A$2:$A$11,0,1,1)</f>
        <v>1800</v>
      </c>
      <c r="E28" s="2">
        <f ca="1">_xlfn.XLOOKUP(RAND(),Data!$C$2:$C$11,Data!$A$2:$A$11,0,1,1)</f>
        <v>1200</v>
      </c>
      <c r="F28" s="2">
        <v>3</v>
      </c>
      <c r="G28" s="2">
        <f ca="1">_xlfn.XLOOKUP(RAND(),Data!$G$2:$G$4,Data!$E$2:$E$4,0,1,1)</f>
        <v>20</v>
      </c>
      <c r="H28" s="2">
        <f>IF(F28=1,Data!$F$7,IF(F28=2,Data!$F$8,Data!$F$9))</f>
        <v>40</v>
      </c>
      <c r="I28" s="2">
        <f t="shared" ca="1" si="0"/>
        <v>60</v>
      </c>
      <c r="J28" s="2">
        <f>F28*Data!$F$12</f>
        <v>96</v>
      </c>
      <c r="K28" s="2">
        <f ca="1">((G28+H28)/60)*Data!$F$14</f>
        <v>30</v>
      </c>
      <c r="L28" s="2">
        <f ca="1">I28*Data!$F$13</f>
        <v>600</v>
      </c>
      <c r="M28" s="4">
        <f t="shared" ca="1" si="1"/>
        <v>726</v>
      </c>
    </row>
    <row r="29" spans="1:13" x14ac:dyDescent="0.3">
      <c r="A29" s="3">
        <v>28</v>
      </c>
      <c r="B29" s="2">
        <f t="shared" ca="1" si="2"/>
        <v>32000</v>
      </c>
      <c r="C29" s="2">
        <f ca="1">_xlfn.XLOOKUP(RAND(),Data!$C$2:$C$11,Data!$A$2:$A$11,0,1,1)</f>
        <v>1900</v>
      </c>
      <c r="D29" s="2">
        <f ca="1">_xlfn.XLOOKUP(RAND(),Data!$C$2:$C$11,Data!$A$2:$A$11,0,1,1)</f>
        <v>1100</v>
      </c>
      <c r="E29" s="2">
        <f ca="1">_xlfn.XLOOKUP(RAND(),Data!$C$2:$C$11,Data!$A$2:$A$11,0,1,1)</f>
        <v>1200</v>
      </c>
      <c r="F29" s="2">
        <v>3</v>
      </c>
      <c r="G29" s="2">
        <f ca="1">_xlfn.XLOOKUP(RAND(),Data!$G$2:$G$4,Data!$E$2:$E$4,0,1,1)</f>
        <v>20</v>
      </c>
      <c r="H29" s="2">
        <f>IF(F29=1,Data!$F$7,IF(F29=2,Data!$F$8,Data!$F$9))</f>
        <v>40</v>
      </c>
      <c r="I29" s="2">
        <f t="shared" ca="1" si="0"/>
        <v>60</v>
      </c>
      <c r="J29" s="2">
        <f>F29*Data!$F$12</f>
        <v>96</v>
      </c>
      <c r="K29" s="2">
        <f ca="1">((G29+H29)/60)*Data!$F$14</f>
        <v>30</v>
      </c>
      <c r="L29" s="2">
        <f ca="1">I29*Data!$F$13</f>
        <v>600</v>
      </c>
      <c r="M29" s="4">
        <f t="shared" ca="1" si="1"/>
        <v>726</v>
      </c>
    </row>
    <row r="30" spans="1:13" x14ac:dyDescent="0.3">
      <c r="A30" s="3">
        <v>29</v>
      </c>
      <c r="B30" s="2">
        <f t="shared" ca="1" si="2"/>
        <v>33600</v>
      </c>
      <c r="C30" s="2">
        <f ca="1">_xlfn.XLOOKUP(RAND(),Data!$C$2:$C$11,Data!$A$2:$A$11,0,1,1)</f>
        <v>1700</v>
      </c>
      <c r="D30" s="2">
        <f ca="1">_xlfn.XLOOKUP(RAND(),Data!$C$2:$C$11,Data!$A$2:$A$11,0,1,1)</f>
        <v>1700</v>
      </c>
      <c r="E30" s="2">
        <f ca="1">_xlfn.XLOOKUP(RAND(),Data!$C$2:$C$11,Data!$A$2:$A$11,0,1,1)</f>
        <v>1600</v>
      </c>
      <c r="F30" s="2">
        <v>3</v>
      </c>
      <c r="G30" s="2">
        <f ca="1">_xlfn.XLOOKUP(RAND(),Data!$G$2:$G$4,Data!$E$2:$E$4,0,1,1)</f>
        <v>30</v>
      </c>
      <c r="H30" s="2">
        <f>IF(F30=1,Data!$F$7,IF(F30=2,Data!$F$8,Data!$F$9))</f>
        <v>40</v>
      </c>
      <c r="I30" s="2">
        <f t="shared" ca="1" si="0"/>
        <v>70</v>
      </c>
      <c r="J30" s="2">
        <f>F30*Data!$F$12</f>
        <v>96</v>
      </c>
      <c r="K30" s="2">
        <f ca="1">((G30+H30)/60)*Data!$F$14</f>
        <v>35</v>
      </c>
      <c r="L30" s="2">
        <f ca="1">I30*Data!$F$13</f>
        <v>700</v>
      </c>
      <c r="M30" s="4">
        <f t="shared" ca="1" si="1"/>
        <v>831</v>
      </c>
    </row>
    <row r="31" spans="1:13" x14ac:dyDescent="0.3">
      <c r="A31" s="3">
        <v>30</v>
      </c>
      <c r="B31" s="2">
        <f t="shared" ca="1" si="2"/>
        <v>34800</v>
      </c>
      <c r="C31" s="2">
        <f ca="1">_xlfn.XLOOKUP(RAND(),Data!$C$2:$C$11,Data!$A$2:$A$11,0,1,1)</f>
        <v>1200</v>
      </c>
      <c r="D31" s="2">
        <f ca="1">_xlfn.XLOOKUP(RAND(),Data!$C$2:$C$11,Data!$A$2:$A$11,0,1,1)</f>
        <v>1400</v>
      </c>
      <c r="E31" s="2">
        <f ca="1">_xlfn.XLOOKUP(RAND(),Data!$C$2:$C$11,Data!$A$2:$A$11,0,1,1)</f>
        <v>1800</v>
      </c>
      <c r="F31" s="2">
        <v>3</v>
      </c>
      <c r="G31" s="2">
        <f ca="1">_xlfn.XLOOKUP(RAND(),Data!$G$2:$G$4,Data!$E$2:$E$4,0,1,1)</f>
        <v>30</v>
      </c>
      <c r="H31" s="2">
        <f>IF(F31=1,Data!$F$7,IF(F31=2,Data!$F$8,Data!$F$9))</f>
        <v>40</v>
      </c>
      <c r="I31" s="2">
        <f t="shared" ca="1" si="0"/>
        <v>70</v>
      </c>
      <c r="J31" s="2">
        <f>F31*Data!$F$12</f>
        <v>96</v>
      </c>
      <c r="K31" s="2">
        <f ca="1">((G31+H31)/60)*Data!$F$14</f>
        <v>35</v>
      </c>
      <c r="L31" s="2">
        <f ca="1">I31*Data!$F$13</f>
        <v>700</v>
      </c>
      <c r="M31" s="4">
        <f t="shared" ca="1" si="1"/>
        <v>831</v>
      </c>
    </row>
    <row r="32" spans="1:13" x14ac:dyDescent="0.3">
      <c r="A32" s="3">
        <v>31</v>
      </c>
      <c r="B32" s="2">
        <f t="shared" ca="1" si="2"/>
        <v>35800</v>
      </c>
      <c r="C32" s="2">
        <f ca="1">_xlfn.XLOOKUP(RAND(),Data!$C$2:$C$11,Data!$A$2:$A$11,0,1,1)</f>
        <v>1500</v>
      </c>
      <c r="D32" s="2">
        <f ca="1">_xlfn.XLOOKUP(RAND(),Data!$C$2:$C$11,Data!$A$2:$A$11,0,1,1)</f>
        <v>1300</v>
      </c>
      <c r="E32" s="2">
        <f ca="1">_xlfn.XLOOKUP(RAND(),Data!$C$2:$C$11,Data!$A$2:$A$11,0,1,1)</f>
        <v>1000</v>
      </c>
      <c r="F32" s="2">
        <v>3</v>
      </c>
      <c r="G32" s="2">
        <f ca="1">_xlfn.XLOOKUP(RAND(),Data!$G$2:$G$4,Data!$E$2:$E$4,0,1,1)</f>
        <v>30</v>
      </c>
      <c r="H32" s="2">
        <f>IF(F32=1,Data!$F$7,IF(F32=2,Data!$F$8,Data!$F$9))</f>
        <v>40</v>
      </c>
      <c r="I32" s="2">
        <f t="shared" ca="1" si="0"/>
        <v>70</v>
      </c>
      <c r="J32" s="2">
        <f>F32*Data!$F$12</f>
        <v>96</v>
      </c>
      <c r="K32" s="2">
        <f ca="1">((G32+H32)/60)*Data!$F$14</f>
        <v>35</v>
      </c>
      <c r="L32" s="2">
        <f ca="1">I32*Data!$F$13</f>
        <v>700</v>
      </c>
      <c r="M32" s="4">
        <f t="shared" ca="1" si="1"/>
        <v>831</v>
      </c>
    </row>
    <row r="33" spans="1:13" x14ac:dyDescent="0.3">
      <c r="A33" s="3">
        <v>32</v>
      </c>
      <c r="B33" s="2">
        <f t="shared" ca="1" si="2"/>
        <v>36900</v>
      </c>
      <c r="C33" s="2">
        <f ca="1">_xlfn.XLOOKUP(RAND(),Data!$C$2:$C$11,Data!$A$2:$A$11,0,1,1)</f>
        <v>1900</v>
      </c>
      <c r="D33" s="2">
        <f ca="1">_xlfn.XLOOKUP(RAND(),Data!$C$2:$C$11,Data!$A$2:$A$11,0,1,1)</f>
        <v>1100</v>
      </c>
      <c r="E33" s="2">
        <f ca="1">_xlfn.XLOOKUP(RAND(),Data!$C$2:$C$11,Data!$A$2:$A$11,0,1,1)</f>
        <v>1500</v>
      </c>
      <c r="F33" s="2">
        <v>3</v>
      </c>
      <c r="G33" s="2">
        <f ca="1">_xlfn.XLOOKUP(RAND(),Data!$G$2:$G$4,Data!$E$2:$E$4,0,1,1)</f>
        <v>20</v>
      </c>
      <c r="H33" s="2">
        <f>IF(F33=1,Data!$F$7,IF(F33=2,Data!$F$8,Data!$F$9))</f>
        <v>40</v>
      </c>
      <c r="I33" s="2">
        <f t="shared" ca="1" si="0"/>
        <v>60</v>
      </c>
      <c r="J33" s="2">
        <f>F33*Data!$F$12</f>
        <v>96</v>
      </c>
      <c r="K33" s="2">
        <f ca="1">((G33+H33)/60)*Data!$F$14</f>
        <v>30</v>
      </c>
      <c r="L33" s="2">
        <f ca="1">I33*Data!$F$13</f>
        <v>600</v>
      </c>
      <c r="M33" s="4">
        <f t="shared" ca="1" si="1"/>
        <v>726</v>
      </c>
    </row>
    <row r="34" spans="1:13" x14ac:dyDescent="0.3">
      <c r="A34" s="3">
        <v>33</v>
      </c>
      <c r="B34" s="2">
        <f t="shared" ca="1" si="2"/>
        <v>38100</v>
      </c>
      <c r="C34" s="2">
        <f ca="1">_xlfn.XLOOKUP(RAND(),Data!$C$2:$C$11,Data!$A$2:$A$11,0,1,1)</f>
        <v>1400</v>
      </c>
      <c r="D34" s="2">
        <f ca="1">_xlfn.XLOOKUP(RAND(),Data!$C$2:$C$11,Data!$A$2:$A$11,0,1,1)</f>
        <v>1200</v>
      </c>
      <c r="E34" s="2">
        <f ca="1">_xlfn.XLOOKUP(RAND(),Data!$C$2:$C$11,Data!$A$2:$A$11,0,1,1)</f>
        <v>1200</v>
      </c>
      <c r="F34" s="2">
        <v>3</v>
      </c>
      <c r="G34" s="2">
        <f ca="1">_xlfn.XLOOKUP(RAND(),Data!$G$2:$G$4,Data!$E$2:$E$4,0,1,1)</f>
        <v>20</v>
      </c>
      <c r="H34" s="2">
        <f>IF(F34=1,Data!$F$7,IF(F34=2,Data!$F$8,Data!$F$9))</f>
        <v>40</v>
      </c>
      <c r="I34" s="2">
        <f t="shared" ca="1" si="0"/>
        <v>60</v>
      </c>
      <c r="J34" s="2">
        <f>F34*Data!$F$12</f>
        <v>96</v>
      </c>
      <c r="K34" s="2">
        <f ca="1">((G34+H34)/60)*Data!$F$14</f>
        <v>30</v>
      </c>
      <c r="L34" s="2">
        <f ca="1">I34*Data!$F$13</f>
        <v>600</v>
      </c>
      <c r="M34" s="4">
        <f t="shared" ca="1" si="1"/>
        <v>726</v>
      </c>
    </row>
    <row r="35" spans="1:13" x14ac:dyDescent="0.3">
      <c r="A35" s="3">
        <v>34</v>
      </c>
      <c r="B35" s="2">
        <f t="shared" ca="1" si="2"/>
        <v>39100</v>
      </c>
      <c r="C35" s="2">
        <f ca="1">_xlfn.XLOOKUP(RAND(),Data!$C$2:$C$11,Data!$A$2:$A$11,0,1,1)</f>
        <v>1100</v>
      </c>
      <c r="D35" s="2">
        <f ca="1">_xlfn.XLOOKUP(RAND(),Data!$C$2:$C$11,Data!$A$2:$A$11,0,1,1)</f>
        <v>1000</v>
      </c>
      <c r="E35" s="2">
        <f ca="1">_xlfn.XLOOKUP(RAND(),Data!$C$2:$C$11,Data!$A$2:$A$11,0,1,1)</f>
        <v>1200</v>
      </c>
      <c r="F35" s="2">
        <v>3</v>
      </c>
      <c r="G35" s="2">
        <f ca="1">_xlfn.XLOOKUP(RAND(),Data!$G$2:$G$4,Data!$E$2:$E$4,0,1,1)</f>
        <v>30</v>
      </c>
      <c r="H35" s="2">
        <f>IF(F35=1,Data!$F$7,IF(F35=2,Data!$F$8,Data!$F$9))</f>
        <v>40</v>
      </c>
      <c r="I35" s="2">
        <f t="shared" ca="1" si="0"/>
        <v>70</v>
      </c>
      <c r="J35" s="2">
        <f>F35*Data!$F$12</f>
        <v>96</v>
      </c>
      <c r="K35" s="2">
        <f ca="1">((G35+H35)/60)*Data!$F$14</f>
        <v>35</v>
      </c>
      <c r="L35" s="2">
        <f ca="1">I35*Data!$F$13</f>
        <v>700</v>
      </c>
      <c r="M35" s="4">
        <f t="shared" ca="1" si="1"/>
        <v>831</v>
      </c>
    </row>
    <row r="36" spans="1:13" x14ac:dyDescent="0.3">
      <c r="A36" s="3">
        <v>35</v>
      </c>
      <c r="B36" s="2">
        <f t="shared" ca="1" si="2"/>
        <v>40100</v>
      </c>
      <c r="C36" s="2">
        <f ca="1">_xlfn.XLOOKUP(RAND(),Data!$C$2:$C$11,Data!$A$2:$A$11,0,1,1)</f>
        <v>1000</v>
      </c>
      <c r="D36" s="2">
        <f ca="1">_xlfn.XLOOKUP(RAND(),Data!$C$2:$C$11,Data!$A$2:$A$11,0,1,1)</f>
        <v>1700</v>
      </c>
      <c r="E36" s="2">
        <f ca="1">_xlfn.XLOOKUP(RAND(),Data!$C$2:$C$11,Data!$A$2:$A$11,0,1,1)</f>
        <v>1300</v>
      </c>
      <c r="F36" s="2">
        <v>3</v>
      </c>
      <c r="G36" s="2">
        <f ca="1">_xlfn.XLOOKUP(RAND(),Data!$G$2:$G$4,Data!$E$2:$E$4,0,1,1)</f>
        <v>20</v>
      </c>
      <c r="H36" s="2">
        <f>IF(F36=1,Data!$F$7,IF(F36=2,Data!$F$8,Data!$F$9))</f>
        <v>40</v>
      </c>
      <c r="I36" s="2">
        <f t="shared" ca="1" si="0"/>
        <v>60</v>
      </c>
      <c r="J36" s="2">
        <f>F36*Data!$F$12</f>
        <v>96</v>
      </c>
      <c r="K36" s="2">
        <f ca="1">((G36+H36)/60)*Data!$F$14</f>
        <v>30</v>
      </c>
      <c r="L36" s="2">
        <f ca="1">I36*Data!$F$13</f>
        <v>600</v>
      </c>
      <c r="M36" s="4">
        <f t="shared" ca="1" si="1"/>
        <v>726</v>
      </c>
    </row>
    <row r="37" spans="1:13" x14ac:dyDescent="0.3">
      <c r="A37" s="3">
        <v>36</v>
      </c>
      <c r="B37" s="2">
        <f t="shared" ca="1" si="2"/>
        <v>41100</v>
      </c>
      <c r="C37" s="2">
        <f ca="1">_xlfn.XLOOKUP(RAND(),Data!$C$2:$C$11,Data!$A$2:$A$11,0,1,1)</f>
        <v>1300</v>
      </c>
      <c r="D37" s="2">
        <f ca="1">_xlfn.XLOOKUP(RAND(),Data!$C$2:$C$11,Data!$A$2:$A$11,0,1,1)</f>
        <v>1600</v>
      </c>
      <c r="E37" s="2">
        <f ca="1">_xlfn.XLOOKUP(RAND(),Data!$C$2:$C$11,Data!$A$2:$A$11,0,1,1)</f>
        <v>1000</v>
      </c>
      <c r="F37" s="2">
        <v>3</v>
      </c>
      <c r="G37" s="2">
        <f ca="1">_xlfn.XLOOKUP(RAND(),Data!$G$2:$G$4,Data!$E$2:$E$4,0,1,1)</f>
        <v>20</v>
      </c>
      <c r="H37" s="2">
        <f>IF(F37=1,Data!$F$7,IF(F37=2,Data!$F$8,Data!$F$9))</f>
        <v>40</v>
      </c>
      <c r="I37" s="2">
        <f t="shared" ca="1" si="0"/>
        <v>60</v>
      </c>
      <c r="J37" s="2">
        <f>F37*Data!$F$12</f>
        <v>96</v>
      </c>
      <c r="K37" s="2">
        <f ca="1">((G37+H37)/60)*Data!$F$14</f>
        <v>30</v>
      </c>
      <c r="L37" s="2">
        <f ca="1">I37*Data!$F$13</f>
        <v>600</v>
      </c>
      <c r="M37" s="4">
        <f t="shared" ca="1" si="1"/>
        <v>726</v>
      </c>
    </row>
    <row r="38" spans="1:13" x14ac:dyDescent="0.3">
      <c r="A38" s="3">
        <v>37</v>
      </c>
      <c r="B38" s="2">
        <f t="shared" ca="1" si="2"/>
        <v>42500</v>
      </c>
      <c r="C38" s="2">
        <f ca="1">_xlfn.XLOOKUP(RAND(),Data!$C$2:$C$11,Data!$A$2:$A$11,0,1,1)</f>
        <v>1500</v>
      </c>
      <c r="D38" s="2">
        <f ca="1">_xlfn.XLOOKUP(RAND(),Data!$C$2:$C$11,Data!$A$2:$A$11,0,1,1)</f>
        <v>1800</v>
      </c>
      <c r="E38" s="2">
        <f ca="1">_xlfn.XLOOKUP(RAND(),Data!$C$2:$C$11,Data!$A$2:$A$11,0,1,1)</f>
        <v>1400</v>
      </c>
      <c r="F38" s="2">
        <v>3</v>
      </c>
      <c r="G38" s="2">
        <f ca="1">_xlfn.XLOOKUP(RAND(),Data!$G$2:$G$4,Data!$E$2:$E$4,0,1,1)</f>
        <v>30</v>
      </c>
      <c r="H38" s="2">
        <f>IF(F38=1,Data!$F$7,IF(F38=2,Data!$F$8,Data!$F$9))</f>
        <v>40</v>
      </c>
      <c r="I38" s="2">
        <f t="shared" ca="1" si="0"/>
        <v>70</v>
      </c>
      <c r="J38" s="2">
        <f>F38*Data!$F$12</f>
        <v>96</v>
      </c>
      <c r="K38" s="2">
        <f ca="1">((G38+H38)/60)*Data!$F$14</f>
        <v>35</v>
      </c>
      <c r="L38" s="2">
        <f ca="1">I38*Data!$F$13</f>
        <v>700</v>
      </c>
      <c r="M38" s="4">
        <f t="shared" ca="1" si="1"/>
        <v>831</v>
      </c>
    </row>
    <row r="39" spans="1:13" x14ac:dyDescent="0.3">
      <c r="A39" s="3">
        <v>38</v>
      </c>
      <c r="B39" s="2">
        <f t="shared" ca="1" si="2"/>
        <v>43700</v>
      </c>
      <c r="C39" s="2">
        <f ca="1">_xlfn.XLOOKUP(RAND(),Data!$C$2:$C$11,Data!$A$2:$A$11,0,1,1)</f>
        <v>1300</v>
      </c>
      <c r="D39" s="2">
        <f ca="1">_xlfn.XLOOKUP(RAND(),Data!$C$2:$C$11,Data!$A$2:$A$11,0,1,1)</f>
        <v>1400</v>
      </c>
      <c r="E39" s="2">
        <f ca="1">_xlfn.XLOOKUP(RAND(),Data!$C$2:$C$11,Data!$A$2:$A$11,0,1,1)</f>
        <v>1200</v>
      </c>
      <c r="F39" s="2">
        <v>3</v>
      </c>
      <c r="G39" s="2">
        <f ca="1">_xlfn.XLOOKUP(RAND(),Data!$G$2:$G$4,Data!$E$2:$E$4,0,1,1)</f>
        <v>20</v>
      </c>
      <c r="H39" s="2">
        <f>IF(F39=1,Data!$F$7,IF(F39=2,Data!$F$8,Data!$F$9))</f>
        <v>40</v>
      </c>
      <c r="I39" s="2">
        <f t="shared" ca="1" si="0"/>
        <v>60</v>
      </c>
      <c r="J39" s="2">
        <f>F39*Data!$F$12</f>
        <v>96</v>
      </c>
      <c r="K39" s="2">
        <f ca="1">((G39+H39)/60)*Data!$F$14</f>
        <v>30</v>
      </c>
      <c r="L39" s="2">
        <f ca="1">I39*Data!$F$13</f>
        <v>600</v>
      </c>
      <c r="M39" s="4">
        <f t="shared" ca="1" si="1"/>
        <v>726</v>
      </c>
    </row>
    <row r="40" spans="1:13" x14ac:dyDescent="0.3">
      <c r="A40" s="3">
        <v>39</v>
      </c>
      <c r="B40" s="2">
        <f t="shared" ca="1" si="2"/>
        <v>44900</v>
      </c>
      <c r="C40" s="2">
        <f ca="1">_xlfn.XLOOKUP(RAND(),Data!$C$2:$C$11,Data!$A$2:$A$11,0,1,1)</f>
        <v>1300</v>
      </c>
      <c r="D40" s="2">
        <f ca="1">_xlfn.XLOOKUP(RAND(),Data!$C$2:$C$11,Data!$A$2:$A$11,0,1,1)</f>
        <v>1200</v>
      </c>
      <c r="E40" s="2">
        <f ca="1">_xlfn.XLOOKUP(RAND(),Data!$C$2:$C$11,Data!$A$2:$A$11,0,1,1)</f>
        <v>1900</v>
      </c>
      <c r="F40" s="2">
        <v>3</v>
      </c>
      <c r="G40" s="2">
        <f ca="1">_xlfn.XLOOKUP(RAND(),Data!$G$2:$G$4,Data!$E$2:$E$4,0,1,1)</f>
        <v>30</v>
      </c>
      <c r="H40" s="2">
        <f>IF(F40=1,Data!$F$7,IF(F40=2,Data!$F$8,Data!$F$9))</f>
        <v>40</v>
      </c>
      <c r="I40" s="2">
        <f t="shared" ca="1" si="0"/>
        <v>70</v>
      </c>
      <c r="J40" s="2">
        <f>F40*Data!$F$12</f>
        <v>96</v>
      </c>
      <c r="K40" s="2">
        <f ca="1">((G40+H40)/60)*Data!$F$14</f>
        <v>35</v>
      </c>
      <c r="L40" s="2">
        <f ca="1">I40*Data!$F$13</f>
        <v>700</v>
      </c>
      <c r="M40" s="4">
        <f t="shared" ca="1" si="1"/>
        <v>831</v>
      </c>
    </row>
    <row r="41" spans="1:13" x14ac:dyDescent="0.3">
      <c r="A41" s="3">
        <v>40</v>
      </c>
      <c r="B41" s="2">
        <f t="shared" ca="1" si="2"/>
        <v>45900</v>
      </c>
      <c r="C41" s="2">
        <f ca="1">_xlfn.XLOOKUP(RAND(),Data!$C$2:$C$11,Data!$A$2:$A$11,0,1,1)</f>
        <v>1000</v>
      </c>
      <c r="D41" s="2">
        <f ca="1">_xlfn.XLOOKUP(RAND(),Data!$C$2:$C$11,Data!$A$2:$A$11,0,1,1)</f>
        <v>1700</v>
      </c>
      <c r="E41" s="2">
        <f ca="1">_xlfn.XLOOKUP(RAND(),Data!$C$2:$C$11,Data!$A$2:$A$11,0,1,1)</f>
        <v>1300</v>
      </c>
      <c r="F41" s="2">
        <v>3</v>
      </c>
      <c r="G41" s="2">
        <f ca="1">_xlfn.XLOOKUP(RAND(),Data!$G$2:$G$4,Data!$E$2:$E$4,0,1,1)</f>
        <v>20</v>
      </c>
      <c r="H41" s="2">
        <f>IF(F41=1,Data!$F$7,IF(F41=2,Data!$F$8,Data!$F$9))</f>
        <v>40</v>
      </c>
      <c r="I41" s="2">
        <f t="shared" ca="1" si="0"/>
        <v>60</v>
      </c>
      <c r="J41" s="2">
        <f>F41*Data!$F$12</f>
        <v>96</v>
      </c>
      <c r="K41" s="2">
        <f ca="1">((G41+H41)/60)*Data!$F$14</f>
        <v>30</v>
      </c>
      <c r="L41" s="2">
        <f ca="1">I41*Data!$F$13</f>
        <v>600</v>
      </c>
      <c r="M41" s="4">
        <f t="shared" ca="1" si="1"/>
        <v>726</v>
      </c>
    </row>
    <row r="42" spans="1:13" x14ac:dyDescent="0.3">
      <c r="A42" s="3">
        <v>41</v>
      </c>
      <c r="B42" s="2">
        <f t="shared" ca="1" si="2"/>
        <v>46900</v>
      </c>
      <c r="C42" s="2">
        <f ca="1">_xlfn.XLOOKUP(RAND(),Data!$C$2:$C$11,Data!$A$2:$A$11,0,1,1)</f>
        <v>1400</v>
      </c>
      <c r="D42" s="2">
        <f ca="1">_xlfn.XLOOKUP(RAND(),Data!$C$2:$C$11,Data!$A$2:$A$11,0,1,1)</f>
        <v>1200</v>
      </c>
      <c r="E42" s="2">
        <f ca="1">_xlfn.XLOOKUP(RAND(),Data!$C$2:$C$11,Data!$A$2:$A$11,0,1,1)</f>
        <v>1000</v>
      </c>
      <c r="F42" s="2">
        <v>3</v>
      </c>
      <c r="G42" s="2">
        <f ca="1">_xlfn.XLOOKUP(RAND(),Data!$G$2:$G$4,Data!$E$2:$E$4,0,1,1)</f>
        <v>20</v>
      </c>
      <c r="H42" s="2">
        <f>IF(F42=1,Data!$F$7,IF(F42=2,Data!$F$8,Data!$F$9))</f>
        <v>40</v>
      </c>
      <c r="I42" s="2">
        <f t="shared" ca="1" si="0"/>
        <v>60</v>
      </c>
      <c r="J42" s="2">
        <f>F42*Data!$F$12</f>
        <v>96</v>
      </c>
      <c r="K42" s="2">
        <f ca="1">((G42+H42)/60)*Data!$F$14</f>
        <v>30</v>
      </c>
      <c r="L42" s="2">
        <f ca="1">I42*Data!$F$13</f>
        <v>600</v>
      </c>
      <c r="M42" s="4">
        <f t="shared" ca="1" si="1"/>
        <v>726</v>
      </c>
    </row>
    <row r="43" spans="1:13" x14ac:dyDescent="0.3">
      <c r="A43" s="3">
        <v>42</v>
      </c>
      <c r="B43" s="2">
        <f t="shared" ca="1" si="2"/>
        <v>48000</v>
      </c>
      <c r="C43" s="2">
        <f ca="1">_xlfn.XLOOKUP(RAND(),Data!$C$2:$C$11,Data!$A$2:$A$11,0,1,1)</f>
        <v>1900</v>
      </c>
      <c r="D43" s="2">
        <f ca="1">_xlfn.XLOOKUP(RAND(),Data!$C$2:$C$11,Data!$A$2:$A$11,0,1,1)</f>
        <v>1200</v>
      </c>
      <c r="E43" s="2">
        <f ca="1">_xlfn.XLOOKUP(RAND(),Data!$C$2:$C$11,Data!$A$2:$A$11,0,1,1)</f>
        <v>1100</v>
      </c>
      <c r="F43" s="2">
        <v>3</v>
      </c>
      <c r="G43" s="2">
        <f ca="1">_xlfn.XLOOKUP(RAND(),Data!$G$2:$G$4,Data!$E$2:$E$4,0,1,1)</f>
        <v>30</v>
      </c>
      <c r="H43" s="2">
        <f>IF(F43=1,Data!$F$7,IF(F43=2,Data!$F$8,Data!$F$9))</f>
        <v>40</v>
      </c>
      <c r="I43" s="2">
        <f t="shared" ca="1" si="0"/>
        <v>70</v>
      </c>
      <c r="J43" s="2">
        <f>F43*Data!$F$12</f>
        <v>96</v>
      </c>
      <c r="K43" s="2">
        <f ca="1">((G43+H43)/60)*Data!$F$14</f>
        <v>35</v>
      </c>
      <c r="L43" s="2">
        <f ca="1">I43*Data!$F$13</f>
        <v>700</v>
      </c>
      <c r="M43" s="4">
        <f t="shared" ca="1" si="1"/>
        <v>831</v>
      </c>
    </row>
    <row r="44" spans="1:13" x14ac:dyDescent="0.3">
      <c r="A44" s="3">
        <v>43</v>
      </c>
      <c r="B44" s="2">
        <f t="shared" ca="1" si="2"/>
        <v>49000</v>
      </c>
      <c r="C44" s="2">
        <f ca="1">_xlfn.XLOOKUP(RAND(),Data!$C$2:$C$11,Data!$A$2:$A$11,0,1,1)</f>
        <v>1000</v>
      </c>
      <c r="D44" s="2">
        <f ca="1">_xlfn.XLOOKUP(RAND(),Data!$C$2:$C$11,Data!$A$2:$A$11,0,1,1)</f>
        <v>1200</v>
      </c>
      <c r="E44" s="2">
        <f ca="1">_xlfn.XLOOKUP(RAND(),Data!$C$2:$C$11,Data!$A$2:$A$11,0,1,1)</f>
        <v>1400</v>
      </c>
      <c r="F44" s="2">
        <v>3</v>
      </c>
      <c r="G44" s="2">
        <f ca="1">_xlfn.XLOOKUP(RAND(),Data!$G$2:$G$4,Data!$E$2:$E$4,0,1,1)</f>
        <v>45</v>
      </c>
      <c r="H44" s="2">
        <f>IF(F44=1,Data!$F$7,IF(F44=2,Data!$F$8,Data!$F$9))</f>
        <v>40</v>
      </c>
      <c r="I44" s="2">
        <f t="shared" ca="1" si="0"/>
        <v>85</v>
      </c>
      <c r="J44" s="2">
        <f>F44*Data!$F$12</f>
        <v>96</v>
      </c>
      <c r="K44" s="2">
        <f ca="1">((G44+H44)/60)*Data!$F$14</f>
        <v>42.5</v>
      </c>
      <c r="L44" s="2">
        <f ca="1">I44*Data!$F$13</f>
        <v>850</v>
      </c>
      <c r="M44" s="4">
        <f t="shared" ca="1" si="1"/>
        <v>988.5</v>
      </c>
    </row>
    <row r="45" spans="1:13" x14ac:dyDescent="0.3">
      <c r="A45" s="3">
        <v>44</v>
      </c>
      <c r="B45" s="2">
        <f t="shared" ca="1" si="2"/>
        <v>50200</v>
      </c>
      <c r="C45" s="2">
        <f ca="1">_xlfn.XLOOKUP(RAND(),Data!$C$2:$C$11,Data!$A$2:$A$11,0,1,1)</f>
        <v>1200</v>
      </c>
      <c r="D45" s="2">
        <f ca="1">_xlfn.XLOOKUP(RAND(),Data!$C$2:$C$11,Data!$A$2:$A$11,0,1,1)</f>
        <v>1800</v>
      </c>
      <c r="E45" s="2">
        <f ca="1">_xlfn.XLOOKUP(RAND(),Data!$C$2:$C$11,Data!$A$2:$A$11,0,1,1)</f>
        <v>1600</v>
      </c>
      <c r="F45" s="2">
        <v>3</v>
      </c>
      <c r="G45" s="2">
        <f ca="1">_xlfn.XLOOKUP(RAND(),Data!$G$2:$G$4,Data!$E$2:$E$4,0,1,1)</f>
        <v>20</v>
      </c>
      <c r="H45" s="2">
        <f>IF(F45=1,Data!$F$7,IF(F45=2,Data!$F$8,Data!$F$9))</f>
        <v>40</v>
      </c>
      <c r="I45" s="2">
        <f t="shared" ca="1" si="0"/>
        <v>60</v>
      </c>
      <c r="J45" s="2">
        <f>F45*Data!$F$12</f>
        <v>96</v>
      </c>
      <c r="K45" s="2">
        <f ca="1">((G45+H45)/60)*Data!$F$14</f>
        <v>30</v>
      </c>
      <c r="L45" s="2">
        <f ca="1">I45*Data!$F$13</f>
        <v>600</v>
      </c>
      <c r="M45" s="4">
        <f t="shared" ca="1" si="1"/>
        <v>726</v>
      </c>
    </row>
    <row r="46" spans="1:13" x14ac:dyDescent="0.3">
      <c r="A46" s="8">
        <v>45</v>
      </c>
      <c r="B46" s="9">
        <f t="shared" ca="1" si="2"/>
        <v>51300</v>
      </c>
      <c r="C46" s="9">
        <f ca="1">_xlfn.XLOOKUP(RAND(),Data!$C$2:$C$11,Data!$A$2:$A$11,0,1,1)</f>
        <v>1800</v>
      </c>
      <c r="D46" s="9">
        <f ca="1">_xlfn.XLOOKUP(RAND(),Data!$C$2:$C$11,Data!$A$2:$A$11,0,1,1)</f>
        <v>1100</v>
      </c>
      <c r="E46" s="9">
        <f ca="1">_xlfn.XLOOKUP(RAND(),Data!$C$2:$C$11,Data!$A$2:$A$11,0,1,1)</f>
        <v>1900</v>
      </c>
      <c r="F46" s="9">
        <v>3</v>
      </c>
      <c r="G46" s="9">
        <f ca="1">_xlfn.XLOOKUP(RAND(),Data!$G$2:$G$4,Data!$E$2:$E$4,0,1,1)</f>
        <v>30</v>
      </c>
      <c r="H46" s="9">
        <f>IF(F46=1,Data!$F$7,IF(F46=2,Data!$F$8,Data!$F$9))</f>
        <v>40</v>
      </c>
      <c r="I46" s="9">
        <f t="shared" ca="1" si="0"/>
        <v>70</v>
      </c>
      <c r="J46" s="9">
        <f>F46*Data!$F$12</f>
        <v>96</v>
      </c>
      <c r="K46" s="9">
        <f ca="1">((G46+H46)/60)*Data!$F$14</f>
        <v>35</v>
      </c>
      <c r="L46" s="9">
        <f ca="1">I46*Data!$F$13</f>
        <v>700</v>
      </c>
      <c r="M46" s="10">
        <f t="shared" ca="1" si="1"/>
        <v>831</v>
      </c>
    </row>
    <row r="48" spans="1:13" x14ac:dyDescent="0.3">
      <c r="L48" s="20" t="s">
        <v>18</v>
      </c>
      <c r="M48" s="20">
        <f ca="1">AVERAGE(M2:M46)</f>
        <v>800.66666666666663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Current Policy</vt:lpstr>
      <vt:lpstr>Proposed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Fabrizio Baeny Vargas</dc:creator>
  <cp:lastModifiedBy>Brenda Carolina Amparo Garcia</cp:lastModifiedBy>
  <dcterms:created xsi:type="dcterms:W3CDTF">2025-06-11T18:13:52Z</dcterms:created>
  <dcterms:modified xsi:type="dcterms:W3CDTF">2025-06-13T23:44:59Z</dcterms:modified>
</cp:coreProperties>
</file>