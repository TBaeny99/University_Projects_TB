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ddy\Downloads\"/>
    </mc:Choice>
  </mc:AlternateContent>
  <xr:revisionPtr revIDLastSave="0" documentId="13_ncr:1_{C9675C11-4C95-4C7C-A891-F7E48AE704E9}" xr6:coauthVersionLast="47" xr6:coauthVersionMax="47" xr10:uidLastSave="{00000000-0000-0000-0000-000000000000}"/>
  <bookViews>
    <workbookView xWindow="276" yWindow="48" windowWidth="23040" windowHeight="12144" activeTab="1" xr2:uid="{00000000-000D-0000-FFFF-FFFF00000000}"/>
  </bookViews>
  <sheets>
    <sheet name="Sheet1" sheetId="1" r:id="rId1"/>
    <sheet name="Clustered" sheetId="10" r:id="rId2"/>
    <sheet name="Cluster 1" sheetId="11" r:id="rId3"/>
    <sheet name="Cluster 2" sheetId="12" r:id="rId4"/>
    <sheet name="Cluster 3" sheetId="13" r:id="rId5"/>
    <sheet name="Cluster 4" sheetId="14" r:id="rId6"/>
  </sheets>
  <definedNames>
    <definedName name="_xlnm._FilterDatabase" localSheetId="2" hidden="1">'Cluster 1'!$A$1:$U$1</definedName>
    <definedName name="_xlnm._FilterDatabase" localSheetId="3" hidden="1">'Cluster 2'!$A$1:$V$1</definedName>
    <definedName name="_xlnm._FilterDatabase" localSheetId="4" hidden="1">'Cluster 3'!$A$1:$V$1</definedName>
    <definedName name="_xlnm._FilterDatabase" localSheetId="5" hidden="1">'Cluster 4'!$A$1:$V$1</definedName>
    <definedName name="_xlnm._FilterDatabase" localSheetId="1" hidden="1">Clustered!$A$1:$U$101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8" i="10" l="1"/>
  <c r="C30" i="14"/>
  <c r="B30" i="14"/>
  <c r="C37" i="13"/>
  <c r="B37" i="13"/>
  <c r="B16" i="12"/>
  <c r="C16" i="12"/>
  <c r="C29" i="11"/>
  <c r="B29" i="11"/>
  <c r="C104" i="10"/>
  <c r="B104" i="10"/>
  <c r="C103" i="10"/>
  <c r="B103" i="10"/>
  <c r="J101" i="10"/>
  <c r="I101" i="10"/>
  <c r="G101" i="10"/>
  <c r="J100" i="10"/>
  <c r="I100" i="10"/>
  <c r="G100" i="10"/>
  <c r="J99" i="10"/>
  <c r="I99" i="10"/>
  <c r="G99" i="10"/>
  <c r="J98" i="10"/>
  <c r="I98" i="10"/>
  <c r="G98" i="10"/>
  <c r="J97" i="10"/>
  <c r="I97" i="10"/>
  <c r="G97" i="10"/>
  <c r="J96" i="10"/>
  <c r="I96" i="10"/>
  <c r="G96" i="10"/>
  <c r="J95" i="10"/>
  <c r="I95" i="10"/>
  <c r="G95" i="10"/>
  <c r="J94" i="10"/>
  <c r="I94" i="10"/>
  <c r="G94" i="10"/>
  <c r="J93" i="10"/>
  <c r="I93" i="10"/>
  <c r="G93" i="10"/>
  <c r="J92" i="10"/>
  <c r="I92" i="10"/>
  <c r="G92" i="10"/>
  <c r="J91" i="10"/>
  <c r="I91" i="10"/>
  <c r="G91" i="10"/>
  <c r="J90" i="10"/>
  <c r="I90" i="10"/>
  <c r="G90" i="10"/>
  <c r="J89" i="10"/>
  <c r="I89" i="10"/>
  <c r="G89" i="10"/>
  <c r="J88" i="10"/>
  <c r="I88" i="10"/>
  <c r="G88" i="10"/>
  <c r="J87" i="10"/>
  <c r="I87" i="10"/>
  <c r="G87" i="10"/>
  <c r="J86" i="10"/>
  <c r="I86" i="10"/>
  <c r="G86" i="10"/>
  <c r="J85" i="10"/>
  <c r="I85" i="10"/>
  <c r="G85" i="10"/>
  <c r="J84" i="10"/>
  <c r="I84" i="10"/>
  <c r="G84" i="10"/>
  <c r="J83" i="10"/>
  <c r="I83" i="10"/>
  <c r="G83" i="10"/>
  <c r="J82" i="10"/>
  <c r="I82" i="10"/>
  <c r="G82" i="10"/>
  <c r="J81" i="10"/>
  <c r="I81" i="10"/>
  <c r="G81" i="10"/>
  <c r="J80" i="10"/>
  <c r="I80" i="10"/>
  <c r="G80" i="10"/>
  <c r="J79" i="10"/>
  <c r="I79" i="10"/>
  <c r="G79" i="10"/>
  <c r="J78" i="10"/>
  <c r="I78" i="10"/>
  <c r="G78" i="10"/>
  <c r="J77" i="10"/>
  <c r="I77" i="10"/>
  <c r="G77" i="10"/>
  <c r="J76" i="10"/>
  <c r="I76" i="10"/>
  <c r="G76" i="10"/>
  <c r="J75" i="10"/>
  <c r="I75" i="10"/>
  <c r="G75" i="10"/>
  <c r="J74" i="10"/>
  <c r="I74" i="10"/>
  <c r="G74" i="10"/>
  <c r="J73" i="10"/>
  <c r="I73" i="10"/>
  <c r="G73" i="10"/>
  <c r="J72" i="10"/>
  <c r="I72" i="10"/>
  <c r="G72" i="10"/>
  <c r="J71" i="10"/>
  <c r="I71" i="10"/>
  <c r="G71" i="10"/>
  <c r="J70" i="10"/>
  <c r="I70" i="10"/>
  <c r="G70" i="10"/>
  <c r="J69" i="10"/>
  <c r="I69" i="10"/>
  <c r="G69" i="10"/>
  <c r="J68" i="10"/>
  <c r="I68" i="10"/>
  <c r="G68" i="10"/>
  <c r="J67" i="10"/>
  <c r="I67" i="10"/>
  <c r="G67" i="10"/>
  <c r="J66" i="10"/>
  <c r="I66" i="10"/>
  <c r="G66" i="10"/>
  <c r="J65" i="10"/>
  <c r="I65" i="10"/>
  <c r="G65" i="10"/>
  <c r="J64" i="10"/>
  <c r="I64" i="10"/>
  <c r="G64" i="10"/>
  <c r="J63" i="10"/>
  <c r="I63" i="10"/>
  <c r="G63" i="10"/>
  <c r="J62" i="10"/>
  <c r="I62" i="10"/>
  <c r="G62" i="10"/>
  <c r="J61" i="10"/>
  <c r="I61" i="10"/>
  <c r="G61" i="10"/>
  <c r="J60" i="10"/>
  <c r="I60" i="10"/>
  <c r="G60" i="10"/>
  <c r="J59" i="10"/>
  <c r="I59" i="10"/>
  <c r="G59" i="10"/>
  <c r="J58" i="10"/>
  <c r="I58" i="10"/>
  <c r="G58" i="10"/>
  <c r="J57" i="10"/>
  <c r="I57" i="10"/>
  <c r="G57" i="10"/>
  <c r="J56" i="10"/>
  <c r="I56" i="10"/>
  <c r="G56" i="10"/>
  <c r="J55" i="10"/>
  <c r="I55" i="10"/>
  <c r="G55" i="10"/>
  <c r="J54" i="10"/>
  <c r="I54" i="10"/>
  <c r="G54" i="10"/>
  <c r="J53" i="10"/>
  <c r="I53" i="10"/>
  <c r="G53" i="10"/>
  <c r="J52" i="10"/>
  <c r="I52" i="10"/>
  <c r="G52" i="10"/>
  <c r="J51" i="10"/>
  <c r="I51" i="10"/>
  <c r="G51" i="10"/>
  <c r="J50" i="10"/>
  <c r="I50" i="10"/>
  <c r="G50" i="10"/>
  <c r="J49" i="10"/>
  <c r="I49" i="10"/>
  <c r="G49" i="10"/>
  <c r="J48" i="10"/>
  <c r="I48" i="10"/>
  <c r="G48" i="10"/>
  <c r="J47" i="10"/>
  <c r="I47" i="10"/>
  <c r="G47" i="10"/>
  <c r="J46" i="10"/>
  <c r="I46" i="10"/>
  <c r="G46" i="10"/>
  <c r="J45" i="10"/>
  <c r="I45" i="10"/>
  <c r="G45" i="10"/>
  <c r="J44" i="10"/>
  <c r="I44" i="10"/>
  <c r="G44" i="10"/>
  <c r="J43" i="10"/>
  <c r="I43" i="10"/>
  <c r="G43" i="10"/>
  <c r="J42" i="10"/>
  <c r="I42" i="10"/>
  <c r="G42" i="10"/>
  <c r="J41" i="10"/>
  <c r="I41" i="10"/>
  <c r="G41" i="10"/>
  <c r="J40" i="10"/>
  <c r="I40" i="10"/>
  <c r="G40" i="10"/>
  <c r="J39" i="10"/>
  <c r="I39" i="10"/>
  <c r="G39" i="10"/>
  <c r="J38" i="10"/>
  <c r="I38" i="10"/>
  <c r="G38" i="10"/>
  <c r="J37" i="10"/>
  <c r="I37" i="10"/>
  <c r="G37" i="10"/>
  <c r="J36" i="10"/>
  <c r="I36" i="10"/>
  <c r="G36" i="10"/>
  <c r="J35" i="10"/>
  <c r="I35" i="10"/>
  <c r="G35" i="10"/>
  <c r="J34" i="10"/>
  <c r="I34" i="10"/>
  <c r="G34" i="10"/>
  <c r="J33" i="10"/>
  <c r="I33" i="10"/>
  <c r="G33" i="10"/>
  <c r="J32" i="10"/>
  <c r="I32" i="10"/>
  <c r="G32" i="10"/>
  <c r="J31" i="10"/>
  <c r="I31" i="10"/>
  <c r="G31" i="10"/>
  <c r="J30" i="10"/>
  <c r="I30" i="10"/>
  <c r="G30" i="10"/>
  <c r="J29" i="10"/>
  <c r="I29" i="10"/>
  <c r="G29" i="10"/>
  <c r="J28" i="10"/>
  <c r="I28" i="10"/>
  <c r="G28" i="10"/>
  <c r="J27" i="10"/>
  <c r="I27" i="10"/>
  <c r="G27" i="10"/>
  <c r="J26" i="10"/>
  <c r="I26" i="10"/>
  <c r="G26" i="10"/>
  <c r="J25" i="10"/>
  <c r="I25" i="10"/>
  <c r="G25" i="10"/>
  <c r="J24" i="10"/>
  <c r="I24" i="10"/>
  <c r="G24" i="10"/>
  <c r="J23" i="10"/>
  <c r="I23" i="10"/>
  <c r="G23" i="10"/>
  <c r="J22" i="10"/>
  <c r="I22" i="10"/>
  <c r="G22" i="10"/>
  <c r="J21" i="10"/>
  <c r="I21" i="10"/>
  <c r="G21" i="10"/>
  <c r="J20" i="10"/>
  <c r="I20" i="10"/>
  <c r="G20" i="10"/>
  <c r="J19" i="10"/>
  <c r="I19" i="10"/>
  <c r="G19" i="10"/>
  <c r="J18" i="10"/>
  <c r="I18" i="10"/>
  <c r="G18" i="10"/>
  <c r="J17" i="10"/>
  <c r="I17" i="10"/>
  <c r="G17" i="10"/>
  <c r="J16" i="10"/>
  <c r="I16" i="10"/>
  <c r="G16" i="10"/>
  <c r="J15" i="10"/>
  <c r="I15" i="10"/>
  <c r="G15" i="10"/>
  <c r="J14" i="10"/>
  <c r="I14" i="10"/>
  <c r="G14" i="10"/>
  <c r="J13" i="10"/>
  <c r="I13" i="10"/>
  <c r="G13" i="10"/>
  <c r="J12" i="10"/>
  <c r="I12" i="10"/>
  <c r="G12" i="10"/>
  <c r="J11" i="10"/>
  <c r="I11" i="10"/>
  <c r="G11" i="10"/>
  <c r="J10" i="10"/>
  <c r="I10" i="10"/>
  <c r="G10" i="10"/>
  <c r="J9" i="10"/>
  <c r="I9" i="10"/>
  <c r="G9" i="10"/>
  <c r="J8" i="10"/>
  <c r="I8" i="10"/>
  <c r="G8" i="10"/>
  <c r="J7" i="10"/>
  <c r="I7" i="10"/>
  <c r="G7" i="10"/>
  <c r="J6" i="10"/>
  <c r="I6" i="10"/>
  <c r="G6" i="10"/>
  <c r="J5" i="10"/>
  <c r="I5" i="10"/>
  <c r="G5" i="10"/>
  <c r="J4" i="10"/>
  <c r="I4" i="10"/>
  <c r="G4" i="10"/>
  <c r="J3" i="10"/>
  <c r="I3" i="10"/>
  <c r="G3" i="10"/>
  <c r="J2" i="10"/>
  <c r="I2" i="10"/>
  <c r="G2" i="10"/>
  <c r="L6" i="10" l="1"/>
  <c r="L75" i="10"/>
  <c r="L52" i="10"/>
  <c r="L71" i="10"/>
  <c r="L80" i="10"/>
  <c r="L51" i="10"/>
  <c r="L3" i="10"/>
  <c r="L7" i="10"/>
  <c r="L23" i="10"/>
  <c r="L29" i="10"/>
  <c r="M95" i="10"/>
  <c r="L91" i="10"/>
  <c r="L87" i="10"/>
  <c r="L61" i="10"/>
  <c r="L45" i="10"/>
  <c r="L28" i="10"/>
  <c r="L11" i="10"/>
  <c r="L83" i="10"/>
  <c r="L59" i="10"/>
  <c r="L41" i="10"/>
  <c r="L27" i="10"/>
  <c r="L8" i="10"/>
  <c r="L100" i="10"/>
  <c r="L68" i="10"/>
  <c r="L47" i="10"/>
  <c r="L21" i="10"/>
  <c r="L96" i="10"/>
  <c r="L67" i="10"/>
  <c r="L40" i="10"/>
  <c r="L19" i="10"/>
  <c r="L95" i="10"/>
  <c r="L63" i="10"/>
  <c r="L39" i="10"/>
  <c r="L17" i="10"/>
  <c r="L92" i="10"/>
  <c r="L57" i="10"/>
  <c r="L37" i="10"/>
  <c r="L16" i="10"/>
  <c r="L88" i="10"/>
  <c r="L56" i="10"/>
  <c r="L36" i="10"/>
  <c r="L12" i="10"/>
  <c r="L32" i="10"/>
  <c r="L48" i="10"/>
  <c r="M80" i="10"/>
  <c r="L9" i="10"/>
  <c r="L20" i="10"/>
  <c r="L31" i="10"/>
  <c r="M39" i="10"/>
  <c r="L49" i="10"/>
  <c r="L60" i="10"/>
  <c r="L72" i="10"/>
  <c r="L84" i="10"/>
  <c r="L99" i="10"/>
  <c r="M72" i="10"/>
  <c r="L13" i="10"/>
  <c r="L24" i="10"/>
  <c r="L33" i="10"/>
  <c r="L43" i="10"/>
  <c r="L53" i="10"/>
  <c r="L64" i="10"/>
  <c r="L76" i="10"/>
  <c r="M88" i="10"/>
  <c r="M7" i="10"/>
  <c r="M32" i="10"/>
  <c r="L4" i="10"/>
  <c r="L5" i="10"/>
  <c r="L15" i="10"/>
  <c r="L25" i="10"/>
  <c r="L35" i="10"/>
  <c r="L44" i="10"/>
  <c r="L55" i="10"/>
  <c r="M64" i="10"/>
  <c r="L79" i="10"/>
  <c r="M96" i="10"/>
  <c r="M47" i="10"/>
  <c r="M52" i="10"/>
  <c r="M8" i="10"/>
  <c r="M3" i="10"/>
  <c r="M28" i="10"/>
  <c r="M35" i="10"/>
  <c r="M55" i="10"/>
  <c r="M68" i="10"/>
  <c r="M92" i="10"/>
  <c r="M100" i="10"/>
  <c r="M4" i="10"/>
  <c r="M43" i="10"/>
  <c r="M24" i="10"/>
  <c r="M31" i="10"/>
  <c r="M56" i="10"/>
  <c r="M63" i="10"/>
  <c r="M71" i="10"/>
  <c r="M79" i="10"/>
  <c r="M87" i="10"/>
  <c r="M98" i="10"/>
  <c r="M94" i="10"/>
  <c r="M90" i="10"/>
  <c r="M86" i="10"/>
  <c r="M82" i="10"/>
  <c r="M78" i="10"/>
  <c r="M74" i="10"/>
  <c r="M70" i="10"/>
  <c r="M66" i="10"/>
  <c r="M62" i="10"/>
  <c r="M58" i="10"/>
  <c r="M54" i="10"/>
  <c r="M50" i="10"/>
  <c r="M46" i="10"/>
  <c r="M42" i="10"/>
  <c r="M38" i="10"/>
  <c r="M34" i="10"/>
  <c r="M30" i="10"/>
  <c r="M26" i="10"/>
  <c r="M22" i="10"/>
  <c r="M18" i="10"/>
  <c r="M14" i="10"/>
  <c r="M10" i="10"/>
  <c r="M6" i="10"/>
  <c r="M2" i="10"/>
  <c r="M101" i="10"/>
  <c r="M97" i="10"/>
  <c r="M93" i="10"/>
  <c r="M89" i="10"/>
  <c r="M85" i="10"/>
  <c r="M81" i="10"/>
  <c r="M77" i="10"/>
  <c r="M73" i="10"/>
  <c r="M69" i="10"/>
  <c r="M65" i="10"/>
  <c r="M61" i="10"/>
  <c r="M57" i="10"/>
  <c r="M53" i="10"/>
  <c r="M49" i="10"/>
  <c r="M45" i="10"/>
  <c r="M41" i="10"/>
  <c r="M37" i="10"/>
  <c r="M33" i="10"/>
  <c r="M29" i="10"/>
  <c r="M25" i="10"/>
  <c r="M21" i="10"/>
  <c r="M17" i="10"/>
  <c r="M13" i="10"/>
  <c r="M9" i="10"/>
  <c r="M5" i="10"/>
  <c r="M20" i="10"/>
  <c r="M27" i="10"/>
  <c r="M59" i="10"/>
  <c r="M15" i="10"/>
  <c r="M40" i="10"/>
  <c r="M67" i="10"/>
  <c r="M75" i="10"/>
  <c r="M83" i="10"/>
  <c r="M91" i="10"/>
  <c r="M99" i="10"/>
  <c r="M60" i="10"/>
  <c r="M16" i="10"/>
  <c r="M23" i="10"/>
  <c r="M48" i="10"/>
  <c r="M76" i="10"/>
  <c r="M84" i="10"/>
  <c r="M11" i="10"/>
  <c r="M36" i="10"/>
  <c r="M12" i="10"/>
  <c r="M19" i="10"/>
  <c r="M44" i="10"/>
  <c r="M51" i="10"/>
  <c r="L98" i="10"/>
  <c r="L94" i="10"/>
  <c r="L90" i="10"/>
  <c r="L86" i="10"/>
  <c r="L82" i="10"/>
  <c r="L78" i="10"/>
  <c r="L74" i="10"/>
  <c r="L70" i="10"/>
  <c r="L66" i="10"/>
  <c r="L62" i="10"/>
  <c r="L58" i="10"/>
  <c r="L54" i="10"/>
  <c r="L50" i="10"/>
  <c r="L46" i="10"/>
  <c r="L42" i="10"/>
  <c r="L38" i="10"/>
  <c r="L34" i="10"/>
  <c r="L30" i="10"/>
  <c r="L26" i="10"/>
  <c r="L22" i="10"/>
  <c r="L18" i="10"/>
  <c r="L14" i="10"/>
  <c r="L10" i="10"/>
  <c r="L2" i="10"/>
  <c r="L101" i="10"/>
  <c r="L97" i="10"/>
  <c r="L93" i="10"/>
  <c r="L89" i="10"/>
  <c r="L85" i="10"/>
  <c r="L81" i="10"/>
  <c r="L77" i="10"/>
  <c r="L73" i="10"/>
  <c r="L69" i="10"/>
  <c r="L65" i="10"/>
  <c r="G104" i="10"/>
  <c r="G103" i="10"/>
  <c r="I104" i="10"/>
  <c r="I103" i="10"/>
  <c r="N24" i="10" l="1"/>
  <c r="N91" i="10"/>
  <c r="N61" i="10"/>
  <c r="N84" i="10"/>
  <c r="O101" i="10"/>
  <c r="O100" i="10"/>
  <c r="O92" i="10"/>
  <c r="O84" i="10"/>
  <c r="O76" i="10"/>
  <c r="O98" i="10"/>
  <c r="O82" i="10"/>
  <c r="O68" i="10"/>
  <c r="O95" i="10"/>
  <c r="O87" i="10"/>
  <c r="O79" i="10"/>
  <c r="O90" i="10"/>
  <c r="O74" i="10"/>
  <c r="O99" i="10"/>
  <c r="O91" i="10"/>
  <c r="O83" i="10"/>
  <c r="O75" i="10"/>
  <c r="O94" i="10"/>
  <c r="O86" i="10"/>
  <c r="O78" i="10"/>
  <c r="O62" i="10"/>
  <c r="O58" i="10"/>
  <c r="O54" i="10"/>
  <c r="O89" i="10"/>
  <c r="O69" i="10"/>
  <c r="O53" i="10"/>
  <c r="O24" i="10"/>
  <c r="O21" i="10"/>
  <c r="O50" i="10"/>
  <c r="O46" i="10"/>
  <c r="O81" i="10"/>
  <c r="O13" i="10"/>
  <c r="O73" i="10"/>
  <c r="O57" i="10"/>
  <c r="O38" i="10"/>
  <c r="O33" i="10"/>
  <c r="O5" i="10"/>
  <c r="O96" i="10"/>
  <c r="O85" i="10"/>
  <c r="O80" i="10"/>
  <c r="O14" i="10"/>
  <c r="O9" i="10"/>
  <c r="O77" i="10"/>
  <c r="O72" i="10"/>
  <c r="O65" i="10"/>
  <c r="O37" i="10"/>
  <c r="O6" i="10"/>
  <c r="O97" i="10"/>
  <c r="O49" i="10"/>
  <c r="O45" i="10"/>
  <c r="O29" i="10"/>
  <c r="O28" i="10"/>
  <c r="O22" i="10"/>
  <c r="O36" i="10"/>
  <c r="O61" i="10"/>
  <c r="O30" i="10"/>
  <c r="O93" i="10"/>
  <c r="O25" i="10"/>
  <c r="O17" i="10"/>
  <c r="O88" i="10"/>
  <c r="N68" i="10"/>
  <c r="O11" i="10"/>
  <c r="O34" i="10"/>
  <c r="O47" i="10"/>
  <c r="N89" i="10"/>
  <c r="N81" i="10"/>
  <c r="T81" i="10" s="1"/>
  <c r="O4" i="10"/>
  <c r="N75" i="10"/>
  <c r="N57" i="10"/>
  <c r="O63" i="10"/>
  <c r="O60" i="10"/>
  <c r="N22" i="10"/>
  <c r="N34" i="10"/>
  <c r="O71" i="10"/>
  <c r="O66" i="10"/>
  <c r="N33" i="10"/>
  <c r="T33" i="10" s="1"/>
  <c r="N23" i="10"/>
  <c r="O43" i="10"/>
  <c r="O19" i="10"/>
  <c r="N101" i="10"/>
  <c r="N96" i="10"/>
  <c r="N53" i="10"/>
  <c r="T53" i="10" s="1"/>
  <c r="N67" i="10"/>
  <c r="N95" i="10"/>
  <c r="N52" i="10"/>
  <c r="N98" i="10"/>
  <c r="N17" i="10"/>
  <c r="O31" i="10"/>
  <c r="O64" i="10"/>
  <c r="N64" i="10"/>
  <c r="N86" i="10"/>
  <c r="T86" i="10" s="1"/>
  <c r="O41" i="10"/>
  <c r="O20" i="10"/>
  <c r="O40" i="10"/>
  <c r="N7" i="10"/>
  <c r="N93" i="10"/>
  <c r="N88" i="10"/>
  <c r="N49" i="10"/>
  <c r="N63" i="10"/>
  <c r="N87" i="10"/>
  <c r="N50" i="10"/>
  <c r="T50" i="10" s="1"/>
  <c r="N70" i="10"/>
  <c r="O3" i="10"/>
  <c r="O26" i="10"/>
  <c r="N62" i="10"/>
  <c r="O59" i="10"/>
  <c r="N73" i="10"/>
  <c r="O23" i="10"/>
  <c r="O15" i="10"/>
  <c r="N97" i="10"/>
  <c r="N43" i="10"/>
  <c r="N32" i="10"/>
  <c r="N29" i="10"/>
  <c r="N15" i="10"/>
  <c r="N4" i="10"/>
  <c r="T4" i="10" s="1"/>
  <c r="N21" i="10"/>
  <c r="T21" i="10" s="1"/>
  <c r="N13" i="10"/>
  <c r="N44" i="10"/>
  <c r="N28" i="10"/>
  <c r="N20" i="10"/>
  <c r="N37" i="10"/>
  <c r="N19" i="10"/>
  <c r="N36" i="10"/>
  <c r="N11" i="10"/>
  <c r="N8" i="10"/>
  <c r="N5" i="10"/>
  <c r="N12" i="10"/>
  <c r="N38" i="10"/>
  <c r="N26" i="10"/>
  <c r="O12" i="10"/>
  <c r="N31" i="10"/>
  <c r="N76" i="10"/>
  <c r="N85" i="10"/>
  <c r="N80" i="10"/>
  <c r="N45" i="10"/>
  <c r="N59" i="10"/>
  <c r="N79" i="10"/>
  <c r="N46" i="10"/>
  <c r="O56" i="10"/>
  <c r="N90" i="10"/>
  <c r="T90" i="10" s="1"/>
  <c r="N14" i="10"/>
  <c r="O35" i="10"/>
  <c r="O48" i="10"/>
  <c r="N66" i="10"/>
  <c r="N18" i="10"/>
  <c r="O10" i="10"/>
  <c r="N39" i="10"/>
  <c r="O16" i="10"/>
  <c r="N77" i="10"/>
  <c r="N72" i="10"/>
  <c r="N83" i="10"/>
  <c r="N55" i="10"/>
  <c r="N71" i="10"/>
  <c r="O42" i="10"/>
  <c r="N54" i="10"/>
  <c r="O67" i="10"/>
  <c r="N9" i="10"/>
  <c r="N10" i="10"/>
  <c r="N41" i="10"/>
  <c r="O52" i="10"/>
  <c r="O8" i="10"/>
  <c r="N3" i="10"/>
  <c r="O18" i="10"/>
  <c r="O32" i="10"/>
  <c r="O2" i="10"/>
  <c r="N69" i="10"/>
  <c r="N100" i="10"/>
  <c r="N51" i="10"/>
  <c r="N78" i="10"/>
  <c r="N30" i="10"/>
  <c r="N42" i="10"/>
  <c r="N56" i="10"/>
  <c r="N82" i="10"/>
  <c r="O7" i="10"/>
  <c r="O27" i="10"/>
  <c r="N48" i="10"/>
  <c r="T48" i="10" s="1"/>
  <c r="N60" i="10"/>
  <c r="N74" i="10"/>
  <c r="N6" i="10"/>
  <c r="N27" i="10"/>
  <c r="N99" i="10"/>
  <c r="N65" i="10"/>
  <c r="N92" i="10"/>
  <c r="N47" i="10"/>
  <c r="T47" i="10" s="1"/>
  <c r="O70" i="10"/>
  <c r="N25" i="10"/>
  <c r="T25" i="10" s="1"/>
  <c r="O39" i="10"/>
  <c r="O51" i="10"/>
  <c r="N58" i="10"/>
  <c r="N94" i="10"/>
  <c r="N2" i="10"/>
  <c r="O44" i="10"/>
  <c r="N35" i="10"/>
  <c r="O55" i="10"/>
  <c r="N40" i="10"/>
  <c r="N16" i="10"/>
  <c r="T16" i="10" s="1"/>
  <c r="T98" i="10" l="1"/>
  <c r="T96" i="10"/>
  <c r="T74" i="10"/>
  <c r="T65" i="10"/>
  <c r="T39" i="10"/>
  <c r="T60" i="10"/>
  <c r="T34" i="10"/>
  <c r="T61" i="10"/>
  <c r="T56" i="10"/>
  <c r="T87" i="10"/>
  <c r="T18" i="10"/>
  <c r="T79" i="10"/>
  <c r="T29" i="10"/>
  <c r="T73" i="10"/>
  <c r="T66" i="10"/>
  <c r="T92" i="10"/>
  <c r="T83" i="10"/>
  <c r="T17" i="10"/>
  <c r="T94" i="10"/>
  <c r="T10" i="10"/>
  <c r="T9" i="10"/>
  <c r="T77" i="10"/>
  <c r="T13" i="10"/>
  <c r="T15" i="10"/>
  <c r="T23" i="10"/>
  <c r="T57" i="10"/>
  <c r="T42" i="10"/>
  <c r="T49" i="10"/>
  <c r="T71" i="10"/>
  <c r="T55" i="10"/>
  <c r="T59" i="10"/>
  <c r="T32" i="10"/>
  <c r="T93" i="10"/>
  <c r="T100" i="10"/>
  <c r="T45" i="10"/>
  <c r="T12" i="10"/>
  <c r="T7" i="10"/>
  <c r="T72" i="10"/>
  <c r="T5" i="10"/>
  <c r="T36" i="10"/>
  <c r="T46" i="10"/>
  <c r="T27" i="10"/>
  <c r="T76" i="10"/>
  <c r="T11" i="10"/>
  <c r="T41" i="10"/>
  <c r="T95" i="10"/>
  <c r="T75" i="10"/>
  <c r="T88" i="10"/>
  <c r="T28" i="10"/>
  <c r="T78" i="10"/>
  <c r="Q84" i="10"/>
  <c r="T40" i="10"/>
  <c r="T6" i="10"/>
  <c r="T54" i="10"/>
  <c r="T31" i="10"/>
  <c r="T63" i="10"/>
  <c r="T67" i="10"/>
  <c r="T38" i="10"/>
  <c r="S24" i="10"/>
  <c r="T69" i="10"/>
  <c r="T35" i="10"/>
  <c r="T80" i="10"/>
  <c r="T44" i="10"/>
  <c r="T97" i="10"/>
  <c r="T70" i="10"/>
  <c r="T43" i="10"/>
  <c r="T37" i="10"/>
  <c r="R91" i="10"/>
  <c r="T58" i="10"/>
  <c r="T99" i="10"/>
  <c r="T82" i="10"/>
  <c r="T2" i="10"/>
  <c r="T14" i="10"/>
  <c r="T85" i="10"/>
  <c r="T20" i="10"/>
  <c r="T52" i="10"/>
  <c r="T68" i="10"/>
  <c r="T22" i="10"/>
  <c r="T62" i="10"/>
  <c r="T30" i="10"/>
  <c r="T3" i="10"/>
  <c r="T19" i="10"/>
  <c r="T64" i="10"/>
  <c r="T26" i="10"/>
  <c r="T89" i="10"/>
  <c r="T101" i="10"/>
  <c r="T24" i="10"/>
  <c r="T84" i="10"/>
  <c r="T51" i="10"/>
  <c r="T91" i="10"/>
  <c r="Q61" i="10"/>
  <c r="S61" i="10"/>
  <c r="S91" i="10"/>
  <c r="Q24" i="10"/>
  <c r="Q35" i="10"/>
  <c r="R35" i="10"/>
  <c r="S35" i="10"/>
  <c r="R60" i="10"/>
  <c r="Q60" i="10"/>
  <c r="S60" i="10"/>
  <c r="S78" i="10"/>
  <c r="Q78" i="10"/>
  <c r="R78" i="10"/>
  <c r="S71" i="10"/>
  <c r="Q71" i="10"/>
  <c r="R71" i="10"/>
  <c r="S18" i="10"/>
  <c r="R18" i="10"/>
  <c r="Q18" i="10"/>
  <c r="S79" i="10"/>
  <c r="Q79" i="10"/>
  <c r="R79" i="10"/>
  <c r="S26" i="10"/>
  <c r="R26" i="10"/>
  <c r="Q26" i="10"/>
  <c r="S37" i="10"/>
  <c r="R37" i="10"/>
  <c r="Q37" i="10"/>
  <c r="S29" i="10"/>
  <c r="R29" i="10"/>
  <c r="Q29" i="10"/>
  <c r="S87" i="10"/>
  <c r="Q87" i="10"/>
  <c r="R87" i="10"/>
  <c r="S95" i="10"/>
  <c r="Q95" i="10"/>
  <c r="R95" i="10"/>
  <c r="R33" i="10"/>
  <c r="S33" i="10"/>
  <c r="Q33" i="10"/>
  <c r="S75" i="10"/>
  <c r="Q75" i="10"/>
  <c r="R75" i="10"/>
  <c r="Q58" i="10"/>
  <c r="S58" i="10"/>
  <c r="R58" i="10"/>
  <c r="S99" i="10"/>
  <c r="R99" i="10"/>
  <c r="Q99" i="10"/>
  <c r="S82" i="10"/>
  <c r="R82" i="10"/>
  <c r="Q82" i="10"/>
  <c r="R9" i="10"/>
  <c r="S9" i="10"/>
  <c r="Q9" i="10"/>
  <c r="S77" i="10"/>
  <c r="Q77" i="10"/>
  <c r="R77" i="10"/>
  <c r="S14" i="10"/>
  <c r="R14" i="10"/>
  <c r="Q14" i="10"/>
  <c r="S85" i="10"/>
  <c r="R85" i="10"/>
  <c r="Q85" i="10"/>
  <c r="Q8" i="10"/>
  <c r="S8" i="10"/>
  <c r="R8" i="10"/>
  <c r="S13" i="10"/>
  <c r="R13" i="10"/>
  <c r="Q13" i="10"/>
  <c r="R84" i="10"/>
  <c r="S93" i="10"/>
  <c r="Q93" i="10"/>
  <c r="R93" i="10"/>
  <c r="S101" i="10"/>
  <c r="R101" i="10"/>
  <c r="Q101" i="10"/>
  <c r="S22" i="10"/>
  <c r="R22" i="10"/>
  <c r="Q22" i="10"/>
  <c r="Q16" i="10"/>
  <c r="R16" i="10"/>
  <c r="S16" i="10"/>
  <c r="Q27" i="10"/>
  <c r="S27" i="10"/>
  <c r="R27" i="10"/>
  <c r="R56" i="10"/>
  <c r="Q56" i="10"/>
  <c r="S56" i="10"/>
  <c r="S90" i="10"/>
  <c r="R90" i="10"/>
  <c r="Q90" i="10"/>
  <c r="S76" i="10"/>
  <c r="R76" i="10"/>
  <c r="Q76" i="10"/>
  <c r="Q11" i="10"/>
  <c r="S11" i="10"/>
  <c r="R11" i="10"/>
  <c r="S21" i="10"/>
  <c r="R21" i="10"/>
  <c r="Q21" i="10"/>
  <c r="S84" i="10"/>
  <c r="Q7" i="10"/>
  <c r="S7" i="10"/>
  <c r="R7" i="10"/>
  <c r="R17" i="10"/>
  <c r="S17" i="10"/>
  <c r="Q17" i="10"/>
  <c r="R61" i="10"/>
  <c r="Q40" i="10"/>
  <c r="R40" i="10"/>
  <c r="S40" i="10"/>
  <c r="S6" i="10"/>
  <c r="Q6" i="10"/>
  <c r="R6" i="10"/>
  <c r="S42" i="10"/>
  <c r="R42" i="10"/>
  <c r="Q42" i="10"/>
  <c r="Q54" i="10"/>
  <c r="S54" i="10"/>
  <c r="R54" i="10"/>
  <c r="S39" i="10"/>
  <c r="R39" i="10"/>
  <c r="Q39" i="10"/>
  <c r="Q31" i="10"/>
  <c r="R31" i="10"/>
  <c r="S31" i="10"/>
  <c r="R36" i="10"/>
  <c r="Q36" i="10"/>
  <c r="S36" i="10"/>
  <c r="R4" i="10"/>
  <c r="Q4" i="10"/>
  <c r="S4" i="10"/>
  <c r="S97" i="10"/>
  <c r="R97" i="10"/>
  <c r="Q97" i="10"/>
  <c r="S70" i="10"/>
  <c r="Q70" i="10"/>
  <c r="R70" i="10"/>
  <c r="S98" i="10"/>
  <c r="R98" i="10"/>
  <c r="Q98" i="10"/>
  <c r="R25" i="10"/>
  <c r="S25" i="10"/>
  <c r="Q25" i="10"/>
  <c r="S74" i="10"/>
  <c r="R74" i="10"/>
  <c r="Q74" i="10"/>
  <c r="S30" i="10"/>
  <c r="R30" i="10"/>
  <c r="Q30" i="10"/>
  <c r="Q3" i="10"/>
  <c r="S3" i="10"/>
  <c r="R3" i="10"/>
  <c r="Q46" i="10"/>
  <c r="S46" i="10"/>
  <c r="R46" i="10"/>
  <c r="Q19" i="10"/>
  <c r="S19" i="10"/>
  <c r="R19" i="10"/>
  <c r="S15" i="10"/>
  <c r="R15" i="10"/>
  <c r="Q15" i="10"/>
  <c r="Q50" i="10"/>
  <c r="S50" i="10"/>
  <c r="R50" i="10"/>
  <c r="R52" i="10"/>
  <c r="Q52" i="10"/>
  <c r="S52" i="10"/>
  <c r="R23" i="10"/>
  <c r="Q23" i="10"/>
  <c r="S23" i="10"/>
  <c r="R57" i="10"/>
  <c r="S57" i="10"/>
  <c r="Q57" i="10"/>
  <c r="R68" i="10"/>
  <c r="Q68" i="10"/>
  <c r="S68" i="10"/>
  <c r="Q91" i="10"/>
  <c r="S47" i="10"/>
  <c r="R47" i="10"/>
  <c r="Q47" i="10"/>
  <c r="R48" i="10"/>
  <c r="Q48" i="10"/>
  <c r="S48" i="10"/>
  <c r="S51" i="10"/>
  <c r="R51" i="10"/>
  <c r="Q51" i="10"/>
  <c r="S55" i="10"/>
  <c r="R55" i="10"/>
  <c r="Q55" i="10"/>
  <c r="Q66" i="10"/>
  <c r="S66" i="10"/>
  <c r="R66" i="10"/>
  <c r="S59" i="10"/>
  <c r="R59" i="10"/>
  <c r="Q59" i="10"/>
  <c r="S38" i="10"/>
  <c r="R38" i="10"/>
  <c r="Q38" i="10"/>
  <c r="R20" i="10"/>
  <c r="Q20" i="10"/>
  <c r="S20" i="10"/>
  <c r="Q32" i="10"/>
  <c r="S32" i="10"/>
  <c r="R32" i="10"/>
  <c r="S73" i="10"/>
  <c r="R73" i="10"/>
  <c r="Q73" i="10"/>
  <c r="S63" i="10"/>
  <c r="R63" i="10"/>
  <c r="Q63" i="10"/>
  <c r="S86" i="10"/>
  <c r="Q86" i="10"/>
  <c r="R86" i="10"/>
  <c r="S67" i="10"/>
  <c r="R67" i="10"/>
  <c r="Q67" i="10"/>
  <c r="S2" i="10"/>
  <c r="R2" i="10"/>
  <c r="Q2" i="10"/>
  <c r="S92" i="10"/>
  <c r="R92" i="10"/>
  <c r="Q92" i="10"/>
  <c r="S100" i="10"/>
  <c r="R100" i="10"/>
  <c r="Q100" i="10"/>
  <c r="R41" i="10"/>
  <c r="Q41" i="10"/>
  <c r="S41" i="10"/>
  <c r="S83" i="10"/>
  <c r="R83" i="10"/>
  <c r="Q83" i="10"/>
  <c r="R45" i="10"/>
  <c r="S45" i="10"/>
  <c r="Q45" i="10"/>
  <c r="R12" i="10"/>
  <c r="Q12" i="10"/>
  <c r="S12" i="10"/>
  <c r="R28" i="10"/>
  <c r="Q28" i="10"/>
  <c r="S28" i="10"/>
  <c r="Q43" i="10"/>
  <c r="S43" i="10"/>
  <c r="R43" i="10"/>
  <c r="S49" i="10"/>
  <c r="R49" i="10"/>
  <c r="Q49" i="10"/>
  <c r="R64" i="10"/>
  <c r="Q64" i="10"/>
  <c r="S64" i="10"/>
  <c r="R53" i="10"/>
  <c r="S53" i="10"/>
  <c r="Q53" i="10"/>
  <c r="S81" i="10"/>
  <c r="R81" i="10"/>
  <c r="Q81" i="10"/>
  <c r="R24" i="10"/>
  <c r="S94" i="10"/>
  <c r="Q94" i="10"/>
  <c r="R94" i="10"/>
  <c r="R65" i="10"/>
  <c r="S65" i="10"/>
  <c r="Q65" i="10"/>
  <c r="S69" i="10"/>
  <c r="R69" i="10"/>
  <c r="Q69" i="10"/>
  <c r="S10" i="10"/>
  <c r="Q10" i="10"/>
  <c r="R10" i="10"/>
  <c r="S72" i="10"/>
  <c r="R72" i="10"/>
  <c r="Q72" i="10"/>
  <c r="S80" i="10"/>
  <c r="R80" i="10"/>
  <c r="Q80" i="10"/>
  <c r="S5" i="10"/>
  <c r="R5" i="10"/>
  <c r="Q5" i="10"/>
  <c r="R44" i="10"/>
  <c r="Q44" i="10"/>
  <c r="S44" i="10"/>
  <c r="Q62" i="10"/>
  <c r="R62" i="10"/>
  <c r="S62" i="10"/>
  <c r="S88" i="10"/>
  <c r="R88" i="10"/>
  <c r="Q88" i="10"/>
  <c r="S96" i="10"/>
  <c r="R96" i="10"/>
  <c r="Q96" i="10"/>
  <c r="S34" i="10"/>
  <c r="Q34" i="10"/>
  <c r="R34" i="10"/>
  <c r="S89" i="10"/>
  <c r="R89" i="10"/>
  <c r="Q89" i="10"/>
  <c r="U91" i="10" l="1"/>
  <c r="U96" i="10"/>
  <c r="U69" i="10"/>
  <c r="U80" i="10"/>
  <c r="U45" i="10"/>
  <c r="U74" i="10"/>
  <c r="U39" i="10"/>
  <c r="U90" i="10"/>
  <c r="U82" i="10"/>
  <c r="U51" i="10"/>
  <c r="U17" i="10"/>
  <c r="U100" i="10"/>
  <c r="U15" i="10"/>
  <c r="U18" i="10"/>
  <c r="U63" i="10"/>
  <c r="U84" i="10"/>
  <c r="U50" i="10"/>
  <c r="U95" i="10"/>
  <c r="U78" i="10"/>
  <c r="U94" i="10"/>
  <c r="U32" i="10"/>
  <c r="U4" i="10"/>
  <c r="U27" i="10"/>
  <c r="U58" i="10"/>
  <c r="U37" i="10"/>
  <c r="U24" i="10"/>
  <c r="U67" i="10"/>
  <c r="U89" i="10"/>
  <c r="U72" i="10"/>
  <c r="U81" i="10"/>
  <c r="U83" i="10"/>
  <c r="U73" i="10"/>
  <c r="U25" i="10"/>
  <c r="U99" i="10"/>
  <c r="U26" i="10"/>
  <c r="U88" i="10"/>
  <c r="U65" i="10"/>
  <c r="U49" i="10"/>
  <c r="U92" i="10"/>
  <c r="U38" i="10"/>
  <c r="U97" i="10"/>
  <c r="U22" i="10"/>
  <c r="U85" i="10"/>
  <c r="U33" i="10"/>
  <c r="U5" i="10"/>
  <c r="U55" i="10"/>
  <c r="U57" i="10"/>
  <c r="U30" i="10"/>
  <c r="U76" i="10"/>
  <c r="U9" i="10"/>
  <c r="U29" i="10"/>
  <c r="U62" i="10"/>
  <c r="U43" i="10"/>
  <c r="U23" i="10"/>
  <c r="U46" i="10"/>
  <c r="U64" i="10"/>
  <c r="U20" i="10"/>
  <c r="U70" i="10"/>
  <c r="U6" i="10"/>
  <c r="U75" i="10"/>
  <c r="U44" i="10"/>
  <c r="U28" i="10"/>
  <c r="U68" i="10"/>
  <c r="U36" i="10"/>
  <c r="U16" i="10"/>
  <c r="U93" i="10"/>
  <c r="U8" i="10"/>
  <c r="U77" i="10"/>
  <c r="U87" i="10"/>
  <c r="U60" i="10"/>
  <c r="U61" i="10"/>
  <c r="U66" i="10"/>
  <c r="U48" i="10"/>
  <c r="U52" i="10"/>
  <c r="U3" i="10"/>
  <c r="U11" i="10"/>
  <c r="U56" i="10"/>
  <c r="U54" i="10"/>
  <c r="U7" i="10"/>
  <c r="U71" i="10"/>
  <c r="U53" i="10"/>
  <c r="U12" i="10"/>
  <c r="U86" i="10"/>
  <c r="U47" i="10"/>
  <c r="U19" i="10"/>
  <c r="U98" i="10"/>
  <c r="U42" i="10"/>
  <c r="U40" i="10"/>
  <c r="U13" i="10"/>
  <c r="U34" i="10"/>
  <c r="U10" i="10"/>
  <c r="U41" i="10"/>
  <c r="U2" i="10"/>
  <c r="U59" i="10"/>
  <c r="U31" i="10"/>
  <c r="U21" i="10"/>
  <c r="U101" i="10"/>
  <c r="U14" i="10"/>
  <c r="U79" i="10"/>
  <c r="U35" i="10"/>
</calcChain>
</file>

<file path=xl/sharedStrings.xml><?xml version="1.0" encoding="utf-8"?>
<sst xmlns="http://schemas.openxmlformats.org/spreadsheetml/2006/main" count="1448" uniqueCount="46">
  <si>
    <t>Customer ID</t>
  </si>
  <si>
    <t>Age</t>
  </si>
  <si>
    <t>Income</t>
  </si>
  <si>
    <t>Gender</t>
  </si>
  <si>
    <t>Region</t>
  </si>
  <si>
    <t>Purchasing Behavior</t>
  </si>
  <si>
    <t>Engagement with Promotions</t>
  </si>
  <si>
    <t>Female</t>
  </si>
  <si>
    <t>Male</t>
  </si>
  <si>
    <t>West</t>
  </si>
  <si>
    <t>East</t>
  </si>
  <si>
    <t>North</t>
  </si>
  <si>
    <t>South</t>
  </si>
  <si>
    <t>Low Spender</t>
  </si>
  <si>
    <t>High Spender</t>
  </si>
  <si>
    <t>Moderate Spender</t>
  </si>
  <si>
    <t>Often Engaged</t>
  </si>
  <si>
    <t>Never Engaged</t>
  </si>
  <si>
    <t>Rarely Engaged</t>
  </si>
  <si>
    <t>RANDOM</t>
  </si>
  <si>
    <t>Purchase</t>
  </si>
  <si>
    <t>Engagement</t>
  </si>
  <si>
    <t>MEAN</t>
  </si>
  <si>
    <t>STD DEVIATION</t>
  </si>
  <si>
    <t>Age Norm</t>
  </si>
  <si>
    <t>Income Norm</t>
  </si>
  <si>
    <t>Purchase Norm</t>
  </si>
  <si>
    <t>Engagement Norm</t>
  </si>
  <si>
    <t>Cluster 1</t>
  </si>
  <si>
    <t>Cluster 2</t>
  </si>
  <si>
    <t>Cluster 3</t>
  </si>
  <si>
    <t xml:space="preserve">Age </t>
  </si>
  <si>
    <t>Cluster Assignment</t>
  </si>
  <si>
    <t>57 female</t>
  </si>
  <si>
    <t>43 male</t>
  </si>
  <si>
    <t>24 east</t>
  </si>
  <si>
    <t xml:space="preserve">23 north </t>
  </si>
  <si>
    <t>25 south</t>
  </si>
  <si>
    <t>28 west</t>
  </si>
  <si>
    <t>25 low spender</t>
  </si>
  <si>
    <t>41 moderate spender</t>
  </si>
  <si>
    <t>34 high spender</t>
  </si>
  <si>
    <t>32 never engaged</t>
  </si>
  <si>
    <t>22 rarely engaged</t>
  </si>
  <si>
    <t>46 often engaged</t>
  </si>
  <si>
    <t>Cluster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</si>
</sst>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320040</xdr:colOff>
      <xdr:row>30</xdr:row>
      <xdr:rowOff>53340</xdr:rowOff>
    </xdr:from>
    <xdr:to>
      <xdr:col>5</xdr:col>
      <xdr:colOff>251460</xdr:colOff>
      <xdr:row>38</xdr:row>
      <xdr:rowOff>175260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BACCE9A-04E8-D61B-97E0-B7060D3C0B78}"/>
            </a:ext>
          </a:extLst>
        </xdr:cNvPr>
        <xdr:cNvSpPr txBox="1"/>
      </xdr:nvSpPr>
      <xdr:spPr>
        <a:xfrm>
          <a:off x="1264920" y="5539740"/>
          <a:ext cx="3710940" cy="15849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BO" sz="1100" kern="1200"/>
            <a:t>- Age range from 18 to 43 (Average</a:t>
          </a:r>
          <a:r>
            <a:rPr lang="es-BO" sz="1100" kern="1200" baseline="0"/>
            <a:t> of 28,61)</a:t>
          </a:r>
        </a:p>
        <a:p>
          <a:r>
            <a:rPr lang="es-BO" sz="1100" kern="1200" baseline="0"/>
            <a:t>- Income range from 34500 to 94000 (Average of 56330,7)</a:t>
          </a:r>
        </a:p>
        <a:p>
          <a:r>
            <a:rPr lang="es-BO" sz="1100" kern="1200" baseline="0"/>
            <a:t>- Gender: 14 Female and 12 Male</a:t>
          </a:r>
        </a:p>
        <a:p>
          <a:r>
            <a:rPr lang="es-BO" sz="1100" kern="1200" baseline="0"/>
            <a:t>- Consumer Region: 5 East, 4 North, 10 South and 7 West </a:t>
          </a:r>
        </a:p>
        <a:p>
          <a:r>
            <a:rPr lang="es-BO" sz="1100" kern="1200"/>
            <a:t>- Purchasing Behavior: 19 High Spender and 7 Moderate Spender </a:t>
          </a:r>
        </a:p>
        <a:p>
          <a:r>
            <a:rPr lang="es-BO" sz="1100" kern="1200"/>
            <a:t>- Engagement: 10 Never Engaged, 5 Rarely Engaged and 11 Often Engaged</a:t>
          </a:r>
        </a:p>
        <a:p>
          <a:r>
            <a:rPr lang="es-BO" sz="1100" kern="1200"/>
            <a:t>Total</a:t>
          </a:r>
          <a:r>
            <a:rPr lang="es-BO" sz="1100" kern="1200" baseline="0"/>
            <a:t> Members: 26 people</a:t>
          </a:r>
          <a:endParaRPr lang="es-BO" sz="1100" kern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17</xdr:row>
      <xdr:rowOff>0</xdr:rowOff>
    </xdr:from>
    <xdr:to>
      <xdr:col>6</xdr:col>
      <xdr:colOff>731520</xdr:colOff>
      <xdr:row>25</xdr:row>
      <xdr:rowOff>99060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C6F5A80-D8D8-4529-8F91-231C773BFFF7}"/>
            </a:ext>
          </a:extLst>
        </xdr:cNvPr>
        <xdr:cNvSpPr txBox="1"/>
      </xdr:nvSpPr>
      <xdr:spPr>
        <a:xfrm>
          <a:off x="1889760" y="3108960"/>
          <a:ext cx="4511040" cy="1562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BO" sz="1100" kern="1200"/>
            <a:t>- Age range from 32 to 60 (Average</a:t>
          </a:r>
          <a:r>
            <a:rPr lang="es-BO" sz="1100" kern="1200" baseline="0"/>
            <a:t> of 43,46)</a:t>
          </a:r>
        </a:p>
        <a:p>
          <a:r>
            <a:rPr lang="es-BO" sz="1100" kern="1200" baseline="0"/>
            <a:t>- Income range from 56400 to 89500 (Average of 69689,89)</a:t>
          </a:r>
        </a:p>
        <a:p>
          <a:r>
            <a:rPr lang="es-BO" sz="1100" kern="1200" baseline="0"/>
            <a:t>- Gender: 8 Female and 5 Male</a:t>
          </a:r>
        </a:p>
        <a:p>
          <a:r>
            <a:rPr lang="es-BO" sz="1100" kern="1200" baseline="0"/>
            <a:t>- Consumer Region: 5 East, 4 North, 2 South and 2 West </a:t>
          </a:r>
        </a:p>
        <a:p>
          <a:r>
            <a:rPr lang="es-BO" sz="1100" kern="1200"/>
            <a:t>- Purchasing Behavior: 7</a:t>
          </a:r>
          <a:r>
            <a:rPr lang="es-BO" sz="1100" kern="1200" baseline="0"/>
            <a:t> Low</a:t>
          </a:r>
          <a:r>
            <a:rPr lang="es-BO" sz="1100" kern="1200"/>
            <a:t> Spender and 6</a:t>
          </a:r>
          <a:r>
            <a:rPr lang="es-BO" sz="1100" kern="1200" baseline="0"/>
            <a:t> </a:t>
          </a:r>
          <a:r>
            <a:rPr lang="es-BO" sz="1100" kern="1200"/>
            <a:t>Moderate Spender </a:t>
          </a:r>
        </a:p>
        <a:p>
          <a:r>
            <a:rPr lang="es-BO" sz="1100" kern="1200"/>
            <a:t>- Engagement: 6 Never Engaged, 5 Rarely Engaged and 2 Often Engaged</a:t>
          </a:r>
        </a:p>
        <a:p>
          <a:r>
            <a:rPr lang="es-BO" sz="1100" kern="1200"/>
            <a:t>Total</a:t>
          </a:r>
          <a:r>
            <a:rPr lang="es-BO" sz="1100" kern="1200" baseline="0"/>
            <a:t> Members: 13 people</a:t>
          </a:r>
          <a:endParaRPr lang="es-BO" sz="1100" kern="12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38</xdr:row>
      <xdr:rowOff>0</xdr:rowOff>
    </xdr:from>
    <xdr:to>
      <xdr:col>7</xdr:col>
      <xdr:colOff>213360</xdr:colOff>
      <xdr:row>46</xdr:row>
      <xdr:rowOff>99060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D46532A-7FD3-4D2B-8CFB-4449F64134E9}"/>
            </a:ext>
          </a:extLst>
        </xdr:cNvPr>
        <xdr:cNvSpPr txBox="1"/>
      </xdr:nvSpPr>
      <xdr:spPr>
        <a:xfrm>
          <a:off x="1889760" y="6949440"/>
          <a:ext cx="4937760" cy="1562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BO" sz="1100" kern="1200"/>
            <a:t>- Age range from 19 to 64 (Average</a:t>
          </a:r>
          <a:r>
            <a:rPr lang="es-BO" sz="1100" kern="1200" baseline="0"/>
            <a:t> of 41,58)</a:t>
          </a:r>
        </a:p>
        <a:p>
          <a:r>
            <a:rPr lang="es-BO" sz="1100" kern="1200" baseline="0"/>
            <a:t>- Income range from 27700 to 72000 (Average of 49273,01)</a:t>
          </a:r>
        </a:p>
        <a:p>
          <a:r>
            <a:rPr lang="es-BO" sz="1100" kern="1200" baseline="0"/>
            <a:t>- Gender: 20 Female and 14 Male</a:t>
          </a:r>
        </a:p>
        <a:p>
          <a:r>
            <a:rPr lang="es-BO" sz="1100" kern="1200" baseline="0"/>
            <a:t>- Consumer Region: 10 East, 6 North, 7 South and 11 West </a:t>
          </a:r>
        </a:p>
        <a:p>
          <a:r>
            <a:rPr lang="es-BO" sz="1100" kern="1200"/>
            <a:t>- Purchasing Behavior: 10</a:t>
          </a:r>
          <a:r>
            <a:rPr lang="es-BO" sz="1100" kern="1200" baseline="0"/>
            <a:t> Low</a:t>
          </a:r>
          <a:r>
            <a:rPr lang="es-BO" sz="1100" kern="1200"/>
            <a:t> Spender, 15</a:t>
          </a:r>
          <a:r>
            <a:rPr lang="es-BO" sz="1100" kern="1200" baseline="0"/>
            <a:t> </a:t>
          </a:r>
          <a:r>
            <a:rPr lang="es-BO" sz="1100" kern="1200"/>
            <a:t>Moderate Spender and 9 High</a:t>
          </a:r>
          <a:r>
            <a:rPr lang="es-BO" sz="1100" kern="1200" baseline="0"/>
            <a:t> Spender</a:t>
          </a:r>
          <a:endParaRPr lang="es-BO" sz="1100" kern="1200"/>
        </a:p>
        <a:p>
          <a:r>
            <a:rPr lang="es-BO" sz="1100" kern="1200"/>
            <a:t>- Engagement: 3 Rarely Engaged and 31 Often Engaged</a:t>
          </a:r>
        </a:p>
        <a:p>
          <a:r>
            <a:rPr lang="es-BO" sz="1100" kern="1200"/>
            <a:t>Total</a:t>
          </a:r>
          <a:r>
            <a:rPr lang="es-BO" sz="1100" kern="1200" baseline="0"/>
            <a:t> Members: 34 people</a:t>
          </a:r>
          <a:endParaRPr lang="es-BO" sz="1100" kern="12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31</xdr:row>
      <xdr:rowOff>0</xdr:rowOff>
    </xdr:from>
    <xdr:to>
      <xdr:col>7</xdr:col>
      <xdr:colOff>137160</xdr:colOff>
      <xdr:row>39</xdr:row>
      <xdr:rowOff>99060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23FB126-10DC-424F-B765-6843424D273F}"/>
            </a:ext>
          </a:extLst>
        </xdr:cNvPr>
        <xdr:cNvSpPr txBox="1"/>
      </xdr:nvSpPr>
      <xdr:spPr>
        <a:xfrm>
          <a:off x="1889760" y="5669280"/>
          <a:ext cx="4861560" cy="1562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BO" sz="1100" kern="1200"/>
            <a:t>- Age range from 21 to 64 (Average</a:t>
          </a:r>
          <a:r>
            <a:rPr lang="es-BO" sz="1100" kern="1200" baseline="0"/>
            <a:t> of 51,69)</a:t>
          </a:r>
        </a:p>
        <a:p>
          <a:r>
            <a:rPr lang="es-BO" sz="1100" kern="1200" baseline="0"/>
            <a:t>- Income range from 20900 to 56800 (Average of 39846,67)</a:t>
          </a:r>
        </a:p>
        <a:p>
          <a:r>
            <a:rPr lang="es-BO" sz="1100" kern="1200" baseline="0"/>
            <a:t>- Gender: 15 Female and 12 Male</a:t>
          </a:r>
        </a:p>
        <a:p>
          <a:r>
            <a:rPr lang="es-BO" sz="1100" kern="1200" baseline="0"/>
            <a:t>- Consumer Region: 4 East, 9 North, 6 South and 8 West </a:t>
          </a:r>
        </a:p>
        <a:p>
          <a:r>
            <a:rPr lang="es-BO" sz="1100" kern="1200"/>
            <a:t>- Purchasing Behavior: 8</a:t>
          </a:r>
          <a:r>
            <a:rPr lang="es-BO" sz="1100" kern="1200" baseline="0"/>
            <a:t> Low</a:t>
          </a:r>
          <a:r>
            <a:rPr lang="es-BO" sz="1100" kern="1200"/>
            <a:t> Spender,</a:t>
          </a:r>
          <a:r>
            <a:rPr lang="es-BO" sz="1100" kern="1200" baseline="0"/>
            <a:t> 13 </a:t>
          </a:r>
          <a:r>
            <a:rPr lang="es-BO" sz="1100" kern="1200"/>
            <a:t>Moderate Spender and 6 High Spender </a:t>
          </a:r>
        </a:p>
        <a:p>
          <a:r>
            <a:rPr lang="es-BO" sz="1100" kern="1200"/>
            <a:t>- Engagement: 16 Never Engaged, 9</a:t>
          </a:r>
          <a:r>
            <a:rPr lang="es-BO" sz="1100" kern="1200" baseline="0"/>
            <a:t> </a:t>
          </a:r>
          <a:r>
            <a:rPr lang="es-BO" sz="1100" kern="1200"/>
            <a:t>Rarely Engaged and 2 Often Engaged</a:t>
          </a:r>
        </a:p>
        <a:p>
          <a:r>
            <a:rPr lang="es-BO" sz="1100" kern="1200"/>
            <a:t>Total</a:t>
          </a:r>
          <a:r>
            <a:rPr lang="es-BO" sz="1100" kern="1200" baseline="0"/>
            <a:t> Members: 27 people</a:t>
          </a:r>
          <a:endParaRPr lang="es-BO" sz="110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workbookViewId="0">
      <selection activeCell="F7" sqref="F7"/>
    </sheetView>
  </sheetViews>
  <sheetFormatPr defaultRowHeight="14.4" x14ac:dyDescent="0.3"/>
  <cols>
    <col min="1" max="2" width="29.5546875" customWidth="1"/>
    <col min="3" max="3" width="26.5546875" customWidth="1"/>
    <col min="4" max="4" width="34" customWidth="1"/>
    <col min="5" max="5" width="35.33203125" customWidth="1"/>
    <col min="6" max="6" width="41.5546875" customWidth="1"/>
    <col min="8" max="8" width="5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>
        <v>56</v>
      </c>
      <c r="C2">
        <v>59544.58</v>
      </c>
      <c r="D2" t="s">
        <v>7</v>
      </c>
      <c r="E2" t="s">
        <v>9</v>
      </c>
      <c r="F2" t="s">
        <v>13</v>
      </c>
      <c r="G2" t="s">
        <v>16</v>
      </c>
    </row>
    <row r="3" spans="1:7" x14ac:dyDescent="0.3">
      <c r="A3">
        <v>2</v>
      </c>
      <c r="B3">
        <v>46</v>
      </c>
      <c r="C3">
        <v>36399.19</v>
      </c>
      <c r="D3" t="s">
        <v>7</v>
      </c>
      <c r="E3" t="s">
        <v>10</v>
      </c>
      <c r="F3" t="s">
        <v>14</v>
      </c>
      <c r="G3" t="s">
        <v>16</v>
      </c>
    </row>
    <row r="4" spans="1:7" x14ac:dyDescent="0.3">
      <c r="A4">
        <v>3</v>
      </c>
      <c r="B4">
        <v>32</v>
      </c>
      <c r="C4">
        <v>57140.639999999999</v>
      </c>
      <c r="D4" t="s">
        <v>7</v>
      </c>
      <c r="E4" t="s">
        <v>9</v>
      </c>
      <c r="F4" t="s">
        <v>15</v>
      </c>
      <c r="G4" t="s">
        <v>17</v>
      </c>
    </row>
    <row r="5" spans="1:7" x14ac:dyDescent="0.3">
      <c r="A5">
        <v>4</v>
      </c>
      <c r="B5">
        <v>60</v>
      </c>
      <c r="C5">
        <v>69554.92</v>
      </c>
      <c r="D5" t="s">
        <v>8</v>
      </c>
      <c r="E5" t="s">
        <v>10</v>
      </c>
      <c r="F5" t="s">
        <v>13</v>
      </c>
      <c r="G5" t="s">
        <v>18</v>
      </c>
    </row>
    <row r="6" spans="1:7" x14ac:dyDescent="0.3">
      <c r="A6">
        <v>5</v>
      </c>
      <c r="B6">
        <v>25</v>
      </c>
      <c r="C6">
        <v>53173.81</v>
      </c>
      <c r="D6" t="s">
        <v>7</v>
      </c>
      <c r="E6" t="s">
        <v>9</v>
      </c>
      <c r="F6" t="s">
        <v>15</v>
      </c>
      <c r="G6" t="s">
        <v>16</v>
      </c>
    </row>
    <row r="7" spans="1:7" x14ac:dyDescent="0.3">
      <c r="A7">
        <v>6</v>
      </c>
      <c r="B7">
        <v>38</v>
      </c>
      <c r="C7">
        <v>58955.67</v>
      </c>
      <c r="D7" t="s">
        <v>7</v>
      </c>
      <c r="E7" t="s">
        <v>11</v>
      </c>
      <c r="F7" t="s">
        <v>14</v>
      </c>
      <c r="G7" t="s">
        <v>17</v>
      </c>
    </row>
    <row r="8" spans="1:7" x14ac:dyDescent="0.3">
      <c r="A8">
        <v>7</v>
      </c>
      <c r="B8">
        <v>56</v>
      </c>
      <c r="C8">
        <v>36554.97</v>
      </c>
      <c r="D8" t="s">
        <v>8</v>
      </c>
      <c r="E8" t="s">
        <v>9</v>
      </c>
      <c r="F8" t="s">
        <v>15</v>
      </c>
      <c r="G8" t="s">
        <v>18</v>
      </c>
    </row>
    <row r="9" spans="1:7" x14ac:dyDescent="0.3">
      <c r="A9">
        <v>8</v>
      </c>
      <c r="B9">
        <v>36</v>
      </c>
      <c r="C9">
        <v>48320.18</v>
      </c>
      <c r="D9" t="s">
        <v>7</v>
      </c>
      <c r="E9" t="s">
        <v>11</v>
      </c>
      <c r="F9" t="s">
        <v>15</v>
      </c>
      <c r="G9" t="s">
        <v>17</v>
      </c>
    </row>
    <row r="10" spans="1:7" x14ac:dyDescent="0.3">
      <c r="A10">
        <v>9</v>
      </c>
      <c r="B10">
        <v>40</v>
      </c>
      <c r="C10">
        <v>72034.12</v>
      </c>
      <c r="D10" t="s">
        <v>8</v>
      </c>
      <c r="E10" t="s">
        <v>9</v>
      </c>
      <c r="F10" t="s">
        <v>15</v>
      </c>
      <c r="G10" t="s">
        <v>16</v>
      </c>
    </row>
    <row r="11" spans="1:7" x14ac:dyDescent="0.3">
      <c r="A11">
        <v>10</v>
      </c>
      <c r="B11">
        <v>28</v>
      </c>
      <c r="C11">
        <v>33141.519999999997</v>
      </c>
      <c r="D11" t="s">
        <v>7</v>
      </c>
      <c r="E11" t="s">
        <v>9</v>
      </c>
      <c r="F11" t="s">
        <v>15</v>
      </c>
      <c r="G11" t="s">
        <v>16</v>
      </c>
    </row>
    <row r="12" spans="1:7" x14ac:dyDescent="0.3">
      <c r="A12">
        <v>11</v>
      </c>
      <c r="B12">
        <v>28</v>
      </c>
      <c r="C12">
        <v>64250.080000000002</v>
      </c>
      <c r="D12" t="s">
        <v>7</v>
      </c>
      <c r="E12" t="s">
        <v>12</v>
      </c>
      <c r="F12" t="s">
        <v>14</v>
      </c>
      <c r="G12" t="s">
        <v>16</v>
      </c>
    </row>
    <row r="13" spans="1:7" x14ac:dyDescent="0.3">
      <c r="A13">
        <v>12</v>
      </c>
      <c r="B13">
        <v>41</v>
      </c>
      <c r="C13">
        <v>75897.75</v>
      </c>
      <c r="D13" t="s">
        <v>7</v>
      </c>
      <c r="E13" t="s">
        <v>11</v>
      </c>
      <c r="F13" t="s">
        <v>15</v>
      </c>
      <c r="G13" t="s">
        <v>17</v>
      </c>
    </row>
    <row r="14" spans="1:7" x14ac:dyDescent="0.3">
      <c r="A14">
        <v>13</v>
      </c>
      <c r="B14">
        <v>53</v>
      </c>
      <c r="C14">
        <v>56868.28</v>
      </c>
      <c r="D14" t="s">
        <v>8</v>
      </c>
      <c r="E14" t="s">
        <v>12</v>
      </c>
      <c r="F14" t="s">
        <v>15</v>
      </c>
      <c r="G14" t="s">
        <v>17</v>
      </c>
    </row>
    <row r="15" spans="1:7" x14ac:dyDescent="0.3">
      <c r="A15">
        <v>14</v>
      </c>
      <c r="B15">
        <v>57</v>
      </c>
      <c r="C15">
        <v>24735.69</v>
      </c>
      <c r="D15" t="s">
        <v>8</v>
      </c>
      <c r="E15" t="s">
        <v>11</v>
      </c>
      <c r="F15" t="s">
        <v>13</v>
      </c>
      <c r="G15" t="s">
        <v>16</v>
      </c>
    </row>
    <row r="16" spans="1:7" x14ac:dyDescent="0.3">
      <c r="A16">
        <v>15</v>
      </c>
      <c r="B16">
        <v>41</v>
      </c>
      <c r="C16">
        <v>54902.68</v>
      </c>
      <c r="D16" t="s">
        <v>7</v>
      </c>
      <c r="E16" t="s">
        <v>12</v>
      </c>
      <c r="F16" t="s">
        <v>15</v>
      </c>
      <c r="G16" t="s">
        <v>17</v>
      </c>
    </row>
    <row r="17" spans="1:7" x14ac:dyDescent="0.3">
      <c r="A17">
        <v>16</v>
      </c>
      <c r="B17">
        <v>20</v>
      </c>
      <c r="C17">
        <v>48783.22</v>
      </c>
      <c r="D17" t="s">
        <v>8</v>
      </c>
      <c r="E17" t="s">
        <v>10</v>
      </c>
      <c r="F17" t="s">
        <v>13</v>
      </c>
      <c r="G17" t="s">
        <v>16</v>
      </c>
    </row>
    <row r="18" spans="1:7" x14ac:dyDescent="0.3">
      <c r="A18">
        <v>17</v>
      </c>
      <c r="B18">
        <v>39</v>
      </c>
      <c r="C18">
        <v>57016.92</v>
      </c>
      <c r="D18" t="s">
        <v>8</v>
      </c>
      <c r="E18" t="s">
        <v>9</v>
      </c>
      <c r="F18" t="s">
        <v>14</v>
      </c>
      <c r="G18" t="s">
        <v>16</v>
      </c>
    </row>
    <row r="19" spans="1:7" x14ac:dyDescent="0.3">
      <c r="A19">
        <v>18</v>
      </c>
      <c r="B19">
        <v>19</v>
      </c>
      <c r="C19">
        <v>61041.84</v>
      </c>
      <c r="D19" t="s">
        <v>8</v>
      </c>
      <c r="E19" t="s">
        <v>11</v>
      </c>
      <c r="F19" t="s">
        <v>14</v>
      </c>
      <c r="G19" t="s">
        <v>18</v>
      </c>
    </row>
    <row r="20" spans="1:7" x14ac:dyDescent="0.3">
      <c r="A20">
        <v>19</v>
      </c>
      <c r="B20">
        <v>41</v>
      </c>
      <c r="C20">
        <v>38304.47</v>
      </c>
      <c r="D20" t="s">
        <v>8</v>
      </c>
      <c r="E20" t="s">
        <v>11</v>
      </c>
      <c r="F20" t="s">
        <v>14</v>
      </c>
      <c r="G20" t="s">
        <v>17</v>
      </c>
    </row>
    <row r="21" spans="1:7" x14ac:dyDescent="0.3">
      <c r="A21">
        <v>20</v>
      </c>
      <c r="B21">
        <v>61</v>
      </c>
      <c r="C21">
        <v>37341.550000000003</v>
      </c>
      <c r="D21" t="s">
        <v>8</v>
      </c>
      <c r="E21" t="s">
        <v>9</v>
      </c>
      <c r="F21" t="s">
        <v>14</v>
      </c>
      <c r="G21" t="s">
        <v>16</v>
      </c>
    </row>
    <row r="22" spans="1:7" x14ac:dyDescent="0.3">
      <c r="A22">
        <v>21</v>
      </c>
      <c r="B22">
        <v>47</v>
      </c>
      <c r="C22">
        <v>47741.99</v>
      </c>
      <c r="D22" t="s">
        <v>8</v>
      </c>
      <c r="E22" t="s">
        <v>11</v>
      </c>
      <c r="F22" t="s">
        <v>13</v>
      </c>
      <c r="G22" t="s">
        <v>16</v>
      </c>
    </row>
    <row r="23" spans="1:7" x14ac:dyDescent="0.3">
      <c r="A23">
        <v>22</v>
      </c>
      <c r="B23">
        <v>55</v>
      </c>
      <c r="C23">
        <v>35516.629999999997</v>
      </c>
      <c r="D23" t="s">
        <v>7</v>
      </c>
      <c r="E23" t="s">
        <v>11</v>
      </c>
      <c r="F23" t="s">
        <v>15</v>
      </c>
      <c r="G23" t="s">
        <v>17</v>
      </c>
    </row>
    <row r="24" spans="1:7" x14ac:dyDescent="0.3">
      <c r="A24">
        <v>23</v>
      </c>
      <c r="B24">
        <v>19</v>
      </c>
      <c r="C24">
        <v>52257.34</v>
      </c>
      <c r="D24" t="s">
        <v>7</v>
      </c>
      <c r="E24" t="s">
        <v>12</v>
      </c>
      <c r="F24" t="s">
        <v>14</v>
      </c>
      <c r="G24" t="s">
        <v>18</v>
      </c>
    </row>
    <row r="25" spans="1:7" x14ac:dyDescent="0.3">
      <c r="A25">
        <v>24</v>
      </c>
      <c r="B25">
        <v>38</v>
      </c>
      <c r="C25">
        <v>48298.68</v>
      </c>
      <c r="D25" t="s">
        <v>8</v>
      </c>
      <c r="E25" t="s">
        <v>11</v>
      </c>
      <c r="F25" t="s">
        <v>15</v>
      </c>
      <c r="G25" t="s">
        <v>18</v>
      </c>
    </row>
    <row r="26" spans="1:7" x14ac:dyDescent="0.3">
      <c r="A26">
        <v>25</v>
      </c>
      <c r="B26">
        <v>50</v>
      </c>
      <c r="C26">
        <v>89502.92</v>
      </c>
      <c r="D26" t="s">
        <v>7</v>
      </c>
      <c r="E26" t="s">
        <v>10</v>
      </c>
      <c r="F26" t="s">
        <v>13</v>
      </c>
      <c r="G26" t="s">
        <v>16</v>
      </c>
    </row>
    <row r="27" spans="1:7" x14ac:dyDescent="0.3">
      <c r="A27">
        <v>26</v>
      </c>
      <c r="B27">
        <v>29</v>
      </c>
      <c r="C27">
        <v>34623.64</v>
      </c>
      <c r="D27" t="s">
        <v>7</v>
      </c>
      <c r="E27" t="s">
        <v>10</v>
      </c>
      <c r="F27" t="s">
        <v>13</v>
      </c>
      <c r="G27" t="s">
        <v>17</v>
      </c>
    </row>
    <row r="28" spans="1:7" x14ac:dyDescent="0.3">
      <c r="A28">
        <v>27</v>
      </c>
      <c r="B28">
        <v>39</v>
      </c>
      <c r="C28">
        <v>38269.279999999999</v>
      </c>
      <c r="D28" t="s">
        <v>7</v>
      </c>
      <c r="E28" t="s">
        <v>9</v>
      </c>
      <c r="F28" t="s">
        <v>13</v>
      </c>
      <c r="G28" t="s">
        <v>18</v>
      </c>
    </row>
    <row r="29" spans="1:7" x14ac:dyDescent="0.3">
      <c r="A29">
        <v>28</v>
      </c>
      <c r="B29">
        <v>61</v>
      </c>
      <c r="C29">
        <v>56359.15</v>
      </c>
      <c r="D29" t="s">
        <v>7</v>
      </c>
      <c r="E29" t="s">
        <v>11</v>
      </c>
      <c r="F29" t="s">
        <v>14</v>
      </c>
      <c r="G29" t="s">
        <v>17</v>
      </c>
    </row>
    <row r="30" spans="1:7" x14ac:dyDescent="0.3">
      <c r="A30">
        <v>29</v>
      </c>
      <c r="B30">
        <v>42</v>
      </c>
      <c r="C30">
        <v>63090.58</v>
      </c>
      <c r="D30" t="s">
        <v>8</v>
      </c>
      <c r="E30" t="s">
        <v>9</v>
      </c>
      <c r="F30" t="s">
        <v>15</v>
      </c>
      <c r="G30" t="s">
        <v>17</v>
      </c>
    </row>
    <row r="31" spans="1:7" x14ac:dyDescent="0.3">
      <c r="A31">
        <v>30</v>
      </c>
      <c r="B31">
        <v>44</v>
      </c>
      <c r="C31">
        <v>84308.39</v>
      </c>
      <c r="D31" t="s">
        <v>7</v>
      </c>
      <c r="E31" t="s">
        <v>10</v>
      </c>
      <c r="F31" t="s">
        <v>15</v>
      </c>
      <c r="G31" t="s">
        <v>16</v>
      </c>
    </row>
    <row r="32" spans="1:7" x14ac:dyDescent="0.3">
      <c r="A32">
        <v>31</v>
      </c>
      <c r="B32">
        <v>59</v>
      </c>
      <c r="C32">
        <v>74343.81</v>
      </c>
      <c r="D32" t="s">
        <v>7</v>
      </c>
      <c r="E32" t="s">
        <v>11</v>
      </c>
      <c r="F32" t="s">
        <v>15</v>
      </c>
      <c r="G32" t="s">
        <v>18</v>
      </c>
    </row>
    <row r="33" spans="1:7" x14ac:dyDescent="0.3">
      <c r="A33">
        <v>32</v>
      </c>
      <c r="B33">
        <v>45</v>
      </c>
      <c r="C33">
        <v>62356</v>
      </c>
      <c r="D33" t="s">
        <v>8</v>
      </c>
      <c r="E33" t="s">
        <v>11</v>
      </c>
      <c r="F33" t="s">
        <v>13</v>
      </c>
      <c r="G33" t="s">
        <v>16</v>
      </c>
    </row>
    <row r="34" spans="1:7" x14ac:dyDescent="0.3">
      <c r="A34">
        <v>33</v>
      </c>
      <c r="B34">
        <v>33</v>
      </c>
      <c r="C34">
        <v>54395.89</v>
      </c>
      <c r="D34" t="s">
        <v>8</v>
      </c>
      <c r="E34" t="s">
        <v>9</v>
      </c>
      <c r="F34" t="s">
        <v>14</v>
      </c>
      <c r="G34" t="s">
        <v>18</v>
      </c>
    </row>
    <row r="35" spans="1:7" x14ac:dyDescent="0.3">
      <c r="A35">
        <v>34</v>
      </c>
      <c r="B35">
        <v>32</v>
      </c>
      <c r="C35">
        <v>63449.46</v>
      </c>
      <c r="D35" t="s">
        <v>7</v>
      </c>
      <c r="E35" t="s">
        <v>10</v>
      </c>
      <c r="F35" t="s">
        <v>13</v>
      </c>
      <c r="G35" t="s">
        <v>18</v>
      </c>
    </row>
    <row r="36" spans="1:7" x14ac:dyDescent="0.3">
      <c r="A36">
        <v>35</v>
      </c>
      <c r="B36">
        <v>64</v>
      </c>
      <c r="C36">
        <v>40845.17</v>
      </c>
      <c r="D36" t="s">
        <v>7</v>
      </c>
      <c r="E36" t="s">
        <v>11</v>
      </c>
      <c r="F36" t="s">
        <v>13</v>
      </c>
      <c r="G36" t="s">
        <v>18</v>
      </c>
    </row>
    <row r="37" spans="1:7" x14ac:dyDescent="0.3">
      <c r="A37">
        <v>36</v>
      </c>
      <c r="B37">
        <v>61</v>
      </c>
      <c r="C37">
        <v>45257.51</v>
      </c>
      <c r="D37" t="s">
        <v>7</v>
      </c>
      <c r="E37" t="s">
        <v>9</v>
      </c>
      <c r="F37" t="s">
        <v>15</v>
      </c>
      <c r="G37" t="s">
        <v>18</v>
      </c>
    </row>
    <row r="38" spans="1:7" x14ac:dyDescent="0.3">
      <c r="A38">
        <v>37</v>
      </c>
      <c r="B38">
        <v>20</v>
      </c>
      <c r="C38">
        <v>27763.64</v>
      </c>
      <c r="D38" t="s">
        <v>7</v>
      </c>
      <c r="E38" t="s">
        <v>10</v>
      </c>
      <c r="F38" t="s">
        <v>13</v>
      </c>
      <c r="G38" t="s">
        <v>18</v>
      </c>
    </row>
    <row r="39" spans="1:7" x14ac:dyDescent="0.3">
      <c r="A39">
        <v>38</v>
      </c>
      <c r="B39">
        <v>54</v>
      </c>
      <c r="C39">
        <v>46567.29</v>
      </c>
      <c r="D39" t="s">
        <v>7</v>
      </c>
      <c r="E39" t="s">
        <v>9</v>
      </c>
      <c r="F39" t="s">
        <v>15</v>
      </c>
      <c r="G39" t="s">
        <v>17</v>
      </c>
    </row>
    <row r="40" spans="1:7" x14ac:dyDescent="0.3">
      <c r="A40">
        <v>39</v>
      </c>
      <c r="B40">
        <v>24</v>
      </c>
      <c r="C40">
        <v>64439.62</v>
      </c>
      <c r="D40" t="s">
        <v>7</v>
      </c>
      <c r="E40" t="s">
        <v>12</v>
      </c>
      <c r="F40" t="s">
        <v>14</v>
      </c>
      <c r="G40" t="s">
        <v>16</v>
      </c>
    </row>
    <row r="41" spans="1:7" x14ac:dyDescent="0.3">
      <c r="A41">
        <v>40</v>
      </c>
      <c r="B41">
        <v>38</v>
      </c>
      <c r="C41">
        <v>46854.61</v>
      </c>
      <c r="D41" t="s">
        <v>8</v>
      </c>
      <c r="E41" t="s">
        <v>11</v>
      </c>
      <c r="F41" t="s">
        <v>15</v>
      </c>
      <c r="G41" t="s">
        <v>17</v>
      </c>
    </row>
    <row r="42" spans="1:7" x14ac:dyDescent="0.3">
      <c r="A42">
        <v>41</v>
      </c>
      <c r="B42">
        <v>26</v>
      </c>
      <c r="C42">
        <v>38389.360000000001</v>
      </c>
      <c r="D42" t="s">
        <v>7</v>
      </c>
      <c r="E42" t="s">
        <v>12</v>
      </c>
      <c r="F42" t="s">
        <v>14</v>
      </c>
      <c r="G42" t="s">
        <v>18</v>
      </c>
    </row>
    <row r="43" spans="1:7" x14ac:dyDescent="0.3">
      <c r="A43">
        <v>42</v>
      </c>
      <c r="B43">
        <v>56</v>
      </c>
      <c r="C43">
        <v>44603.33</v>
      </c>
      <c r="D43" t="s">
        <v>7</v>
      </c>
      <c r="E43" t="s">
        <v>10</v>
      </c>
      <c r="F43" t="s">
        <v>15</v>
      </c>
      <c r="G43" t="s">
        <v>16</v>
      </c>
    </row>
    <row r="44" spans="1:7" x14ac:dyDescent="0.3">
      <c r="A44">
        <v>43</v>
      </c>
      <c r="B44">
        <v>35</v>
      </c>
      <c r="C44">
        <v>60861.25</v>
      </c>
      <c r="D44" t="s">
        <v>8</v>
      </c>
      <c r="E44" t="s">
        <v>12</v>
      </c>
      <c r="F44" t="s">
        <v>13</v>
      </c>
      <c r="G44" t="s">
        <v>18</v>
      </c>
    </row>
    <row r="45" spans="1:7" x14ac:dyDescent="0.3">
      <c r="A45">
        <v>44</v>
      </c>
      <c r="B45">
        <v>21</v>
      </c>
      <c r="C45">
        <v>46163.53</v>
      </c>
      <c r="D45" t="s">
        <v>8</v>
      </c>
      <c r="E45" t="s">
        <v>12</v>
      </c>
      <c r="F45" t="s">
        <v>13</v>
      </c>
      <c r="G45" t="s">
        <v>16</v>
      </c>
    </row>
    <row r="46" spans="1:7" x14ac:dyDescent="0.3">
      <c r="A46">
        <v>45</v>
      </c>
      <c r="B46">
        <v>42</v>
      </c>
      <c r="C46">
        <v>62748.82</v>
      </c>
      <c r="D46" t="s">
        <v>8</v>
      </c>
      <c r="E46" t="s">
        <v>10</v>
      </c>
      <c r="F46" t="s">
        <v>14</v>
      </c>
      <c r="G46" t="s">
        <v>17</v>
      </c>
    </row>
    <row r="47" spans="1:7" x14ac:dyDescent="0.3">
      <c r="A47">
        <v>46</v>
      </c>
      <c r="B47">
        <v>31</v>
      </c>
      <c r="C47">
        <v>30330.14</v>
      </c>
      <c r="D47" t="s">
        <v>8</v>
      </c>
      <c r="E47" t="s">
        <v>9</v>
      </c>
      <c r="F47" t="s">
        <v>14</v>
      </c>
      <c r="G47" t="s">
        <v>16</v>
      </c>
    </row>
    <row r="48" spans="1:7" x14ac:dyDescent="0.3">
      <c r="A48">
        <v>47</v>
      </c>
      <c r="B48">
        <v>26</v>
      </c>
      <c r="C48">
        <v>36945.43</v>
      </c>
      <c r="D48" t="s">
        <v>7</v>
      </c>
      <c r="E48" t="s">
        <v>12</v>
      </c>
      <c r="F48" t="s">
        <v>14</v>
      </c>
      <c r="G48" t="s">
        <v>16</v>
      </c>
    </row>
    <row r="49" spans="1:7" x14ac:dyDescent="0.3">
      <c r="A49">
        <v>48</v>
      </c>
      <c r="B49">
        <v>43</v>
      </c>
      <c r="C49">
        <v>42400.35</v>
      </c>
      <c r="D49" t="s">
        <v>7</v>
      </c>
      <c r="E49" t="s">
        <v>9</v>
      </c>
      <c r="F49" t="s">
        <v>15</v>
      </c>
      <c r="G49" t="s">
        <v>16</v>
      </c>
    </row>
    <row r="50" spans="1:7" x14ac:dyDescent="0.3">
      <c r="A50">
        <v>49</v>
      </c>
      <c r="B50">
        <v>19</v>
      </c>
      <c r="C50">
        <v>30350.74</v>
      </c>
      <c r="D50" t="s">
        <v>7</v>
      </c>
      <c r="E50" t="s">
        <v>12</v>
      </c>
      <c r="F50" t="s">
        <v>15</v>
      </c>
      <c r="G50" t="s">
        <v>16</v>
      </c>
    </row>
    <row r="51" spans="1:7" x14ac:dyDescent="0.3">
      <c r="A51">
        <v>50</v>
      </c>
      <c r="B51">
        <v>37</v>
      </c>
      <c r="C51">
        <v>94154.95</v>
      </c>
      <c r="D51" t="s">
        <v>7</v>
      </c>
      <c r="E51" t="s">
        <v>9</v>
      </c>
      <c r="F51" t="s">
        <v>14</v>
      </c>
      <c r="G51" t="s">
        <v>16</v>
      </c>
    </row>
    <row r="52" spans="1:7" x14ac:dyDescent="0.3">
      <c r="A52">
        <v>51</v>
      </c>
      <c r="B52">
        <v>45</v>
      </c>
      <c r="C52">
        <v>33556.01</v>
      </c>
      <c r="D52" t="s">
        <v>7</v>
      </c>
      <c r="E52" t="s">
        <v>10</v>
      </c>
      <c r="F52" t="s">
        <v>13</v>
      </c>
      <c r="G52" t="s">
        <v>18</v>
      </c>
    </row>
    <row r="53" spans="1:7" x14ac:dyDescent="0.3">
      <c r="A53">
        <v>52</v>
      </c>
      <c r="B53">
        <v>64</v>
      </c>
      <c r="C53">
        <v>63723.26</v>
      </c>
      <c r="D53" t="s">
        <v>7</v>
      </c>
      <c r="E53" t="s">
        <v>12</v>
      </c>
      <c r="F53" t="s">
        <v>15</v>
      </c>
      <c r="G53" t="s">
        <v>16</v>
      </c>
    </row>
    <row r="54" spans="1:7" x14ac:dyDescent="0.3">
      <c r="A54">
        <v>53</v>
      </c>
      <c r="B54">
        <v>24</v>
      </c>
      <c r="C54">
        <v>40009.089999999997</v>
      </c>
      <c r="D54" t="s">
        <v>8</v>
      </c>
      <c r="E54" t="s">
        <v>10</v>
      </c>
      <c r="F54" t="s">
        <v>15</v>
      </c>
      <c r="G54" t="s">
        <v>16</v>
      </c>
    </row>
    <row r="55" spans="1:7" x14ac:dyDescent="0.3">
      <c r="A55">
        <v>54</v>
      </c>
      <c r="B55">
        <v>61</v>
      </c>
      <c r="C55">
        <v>42293.19</v>
      </c>
      <c r="D55" t="s">
        <v>7</v>
      </c>
      <c r="E55" t="s">
        <v>12</v>
      </c>
      <c r="F55" t="s">
        <v>15</v>
      </c>
      <c r="G55" t="s">
        <v>17</v>
      </c>
    </row>
    <row r="56" spans="1:7" x14ac:dyDescent="0.3">
      <c r="A56">
        <v>55</v>
      </c>
      <c r="B56">
        <v>25</v>
      </c>
      <c r="C56">
        <v>54519.839999999997</v>
      </c>
      <c r="D56" t="s">
        <v>8</v>
      </c>
      <c r="E56" t="s">
        <v>10</v>
      </c>
      <c r="F56" t="s">
        <v>14</v>
      </c>
      <c r="G56" t="s">
        <v>16</v>
      </c>
    </row>
    <row r="57" spans="1:7" x14ac:dyDescent="0.3">
      <c r="A57">
        <v>56</v>
      </c>
      <c r="B57">
        <v>64</v>
      </c>
      <c r="C57">
        <v>28122.25</v>
      </c>
      <c r="D57" t="s">
        <v>8</v>
      </c>
      <c r="E57" t="s">
        <v>10</v>
      </c>
      <c r="F57" t="s">
        <v>14</v>
      </c>
      <c r="G57" t="s">
        <v>17</v>
      </c>
    </row>
    <row r="58" spans="1:7" x14ac:dyDescent="0.3">
      <c r="A58">
        <v>57</v>
      </c>
      <c r="B58">
        <v>52</v>
      </c>
      <c r="C58">
        <v>40058.93</v>
      </c>
      <c r="D58" t="s">
        <v>7</v>
      </c>
      <c r="E58" t="s">
        <v>12</v>
      </c>
      <c r="F58" t="s">
        <v>14</v>
      </c>
      <c r="G58" t="s">
        <v>18</v>
      </c>
    </row>
    <row r="59" spans="1:7" x14ac:dyDescent="0.3">
      <c r="A59">
        <v>58</v>
      </c>
      <c r="B59">
        <v>31</v>
      </c>
      <c r="C59">
        <v>47802.91</v>
      </c>
      <c r="D59" t="s">
        <v>8</v>
      </c>
      <c r="E59" t="s">
        <v>12</v>
      </c>
      <c r="F59" t="s">
        <v>14</v>
      </c>
      <c r="G59" t="s">
        <v>16</v>
      </c>
    </row>
    <row r="60" spans="1:7" x14ac:dyDescent="0.3">
      <c r="A60">
        <v>59</v>
      </c>
      <c r="B60">
        <v>34</v>
      </c>
      <c r="C60">
        <v>37309.74</v>
      </c>
      <c r="D60" t="s">
        <v>7</v>
      </c>
      <c r="E60" t="s">
        <v>12</v>
      </c>
      <c r="F60" t="s">
        <v>14</v>
      </c>
      <c r="G60" t="s">
        <v>17</v>
      </c>
    </row>
    <row r="61" spans="1:7" x14ac:dyDescent="0.3">
      <c r="A61">
        <v>60</v>
      </c>
      <c r="B61">
        <v>53</v>
      </c>
      <c r="C61">
        <v>37662.660000000003</v>
      </c>
      <c r="D61" t="s">
        <v>8</v>
      </c>
      <c r="E61" t="s">
        <v>11</v>
      </c>
      <c r="F61" t="s">
        <v>13</v>
      </c>
      <c r="G61" t="s">
        <v>17</v>
      </c>
    </row>
    <row r="62" spans="1:7" x14ac:dyDescent="0.3">
      <c r="A62">
        <v>61</v>
      </c>
      <c r="B62">
        <v>57</v>
      </c>
      <c r="C62">
        <v>66300.91</v>
      </c>
      <c r="D62" t="s">
        <v>7</v>
      </c>
      <c r="E62" t="s">
        <v>9</v>
      </c>
      <c r="F62" t="s">
        <v>13</v>
      </c>
      <c r="G62" t="s">
        <v>18</v>
      </c>
    </row>
    <row r="63" spans="1:7" x14ac:dyDescent="0.3">
      <c r="A63">
        <v>62</v>
      </c>
      <c r="B63">
        <v>21</v>
      </c>
      <c r="C63">
        <v>65074.8</v>
      </c>
      <c r="D63" t="s">
        <v>8</v>
      </c>
      <c r="E63" t="s">
        <v>11</v>
      </c>
      <c r="F63" t="s">
        <v>14</v>
      </c>
      <c r="G63" t="s">
        <v>16</v>
      </c>
    </row>
    <row r="64" spans="1:7" x14ac:dyDescent="0.3">
      <c r="A64">
        <v>63</v>
      </c>
      <c r="B64">
        <v>19</v>
      </c>
      <c r="C64">
        <v>43373.51</v>
      </c>
      <c r="D64" t="s">
        <v>7</v>
      </c>
      <c r="E64" t="s">
        <v>11</v>
      </c>
      <c r="F64" t="s">
        <v>15</v>
      </c>
      <c r="G64" t="s">
        <v>16</v>
      </c>
    </row>
    <row r="65" spans="1:7" x14ac:dyDescent="0.3">
      <c r="A65">
        <v>64</v>
      </c>
      <c r="B65">
        <v>23</v>
      </c>
      <c r="C65">
        <v>48737.52</v>
      </c>
      <c r="D65" t="s">
        <v>7</v>
      </c>
      <c r="E65" t="s">
        <v>10</v>
      </c>
      <c r="F65" t="s">
        <v>14</v>
      </c>
      <c r="G65" t="s">
        <v>17</v>
      </c>
    </row>
    <row r="66" spans="1:7" x14ac:dyDescent="0.3">
      <c r="A66">
        <v>65</v>
      </c>
      <c r="B66">
        <v>59</v>
      </c>
      <c r="C66">
        <v>68555.240000000005</v>
      </c>
      <c r="D66" t="s">
        <v>7</v>
      </c>
      <c r="E66" t="s">
        <v>12</v>
      </c>
      <c r="F66" t="s">
        <v>13</v>
      </c>
      <c r="G66" t="s">
        <v>16</v>
      </c>
    </row>
    <row r="67" spans="1:7" x14ac:dyDescent="0.3">
      <c r="A67">
        <v>66</v>
      </c>
      <c r="B67">
        <v>21</v>
      </c>
      <c r="C67">
        <v>28602.82</v>
      </c>
      <c r="D67" t="s">
        <v>7</v>
      </c>
      <c r="E67" t="s">
        <v>9</v>
      </c>
      <c r="F67" t="s">
        <v>13</v>
      </c>
      <c r="G67" t="s">
        <v>17</v>
      </c>
    </row>
    <row r="68" spans="1:7" x14ac:dyDescent="0.3">
      <c r="A68">
        <v>67</v>
      </c>
      <c r="B68">
        <v>46</v>
      </c>
      <c r="C68">
        <v>55070.34</v>
      </c>
      <c r="D68" t="s">
        <v>7</v>
      </c>
      <c r="E68" t="s">
        <v>10</v>
      </c>
      <c r="F68" t="s">
        <v>15</v>
      </c>
      <c r="G68" t="s">
        <v>16</v>
      </c>
    </row>
    <row r="69" spans="1:7" x14ac:dyDescent="0.3">
      <c r="A69">
        <v>68</v>
      </c>
      <c r="B69">
        <v>35</v>
      </c>
      <c r="C69">
        <v>79618.570000000007</v>
      </c>
      <c r="D69" t="s">
        <v>8</v>
      </c>
      <c r="E69" t="s">
        <v>11</v>
      </c>
      <c r="F69" t="s">
        <v>13</v>
      </c>
      <c r="G69" t="s">
        <v>17</v>
      </c>
    </row>
    <row r="70" spans="1:7" x14ac:dyDescent="0.3">
      <c r="A70">
        <v>69</v>
      </c>
      <c r="B70">
        <v>43</v>
      </c>
      <c r="C70">
        <v>79475.520000000004</v>
      </c>
      <c r="D70" t="s">
        <v>8</v>
      </c>
      <c r="E70" t="s">
        <v>12</v>
      </c>
      <c r="F70" t="s">
        <v>14</v>
      </c>
      <c r="G70" t="s">
        <v>16</v>
      </c>
    </row>
    <row r="71" spans="1:7" x14ac:dyDescent="0.3">
      <c r="A71">
        <v>70</v>
      </c>
      <c r="B71">
        <v>61</v>
      </c>
      <c r="C71">
        <v>20901.330000000002</v>
      </c>
      <c r="D71" t="s">
        <v>8</v>
      </c>
      <c r="E71" t="s">
        <v>10</v>
      </c>
      <c r="F71" t="s">
        <v>15</v>
      </c>
      <c r="G71" t="s">
        <v>18</v>
      </c>
    </row>
    <row r="72" spans="1:7" x14ac:dyDescent="0.3">
      <c r="A72">
        <v>71</v>
      </c>
      <c r="B72">
        <v>51</v>
      </c>
      <c r="C72">
        <v>38560.6</v>
      </c>
      <c r="D72" t="s">
        <v>7</v>
      </c>
      <c r="E72" t="s">
        <v>12</v>
      </c>
      <c r="F72" t="s">
        <v>14</v>
      </c>
      <c r="G72" t="s">
        <v>16</v>
      </c>
    </row>
    <row r="73" spans="1:7" x14ac:dyDescent="0.3">
      <c r="A73">
        <v>72</v>
      </c>
      <c r="B73">
        <v>27</v>
      </c>
      <c r="C73">
        <v>52529.89</v>
      </c>
      <c r="D73" t="s">
        <v>8</v>
      </c>
      <c r="E73" t="s">
        <v>10</v>
      </c>
      <c r="F73" t="s">
        <v>14</v>
      </c>
      <c r="G73" t="s">
        <v>16</v>
      </c>
    </row>
    <row r="74" spans="1:7" x14ac:dyDescent="0.3">
      <c r="A74">
        <v>73</v>
      </c>
      <c r="B74">
        <v>53</v>
      </c>
      <c r="C74">
        <v>30171.85</v>
      </c>
      <c r="D74" t="s">
        <v>7</v>
      </c>
      <c r="E74" t="s">
        <v>12</v>
      </c>
      <c r="F74" t="s">
        <v>15</v>
      </c>
      <c r="G74" t="s">
        <v>18</v>
      </c>
    </row>
    <row r="75" spans="1:7" x14ac:dyDescent="0.3">
      <c r="A75">
        <v>74</v>
      </c>
      <c r="B75">
        <v>31</v>
      </c>
      <c r="C75">
        <v>39976.300000000003</v>
      </c>
      <c r="D75" t="s">
        <v>7</v>
      </c>
      <c r="E75" t="s">
        <v>11</v>
      </c>
      <c r="F75" t="s">
        <v>14</v>
      </c>
      <c r="G75" t="s">
        <v>16</v>
      </c>
    </row>
    <row r="76" spans="1:7" x14ac:dyDescent="0.3">
      <c r="A76">
        <v>75</v>
      </c>
      <c r="B76">
        <v>48</v>
      </c>
      <c r="C76">
        <v>47940.63</v>
      </c>
      <c r="D76" t="s">
        <v>8</v>
      </c>
      <c r="E76" t="s">
        <v>9</v>
      </c>
      <c r="F76" t="s">
        <v>13</v>
      </c>
      <c r="G76" t="s">
        <v>18</v>
      </c>
    </row>
    <row r="77" spans="1:7" x14ac:dyDescent="0.3">
      <c r="A77">
        <v>76</v>
      </c>
      <c r="B77">
        <v>32</v>
      </c>
      <c r="C77">
        <v>71019.820000000007</v>
      </c>
      <c r="D77" t="s">
        <v>8</v>
      </c>
      <c r="E77" t="s">
        <v>11</v>
      </c>
      <c r="F77" t="s">
        <v>14</v>
      </c>
      <c r="G77" t="s">
        <v>16</v>
      </c>
    </row>
    <row r="78" spans="1:7" x14ac:dyDescent="0.3">
      <c r="A78">
        <v>77</v>
      </c>
      <c r="B78">
        <v>25</v>
      </c>
      <c r="C78">
        <v>49318.96</v>
      </c>
      <c r="D78" t="s">
        <v>7</v>
      </c>
      <c r="E78" t="s">
        <v>9</v>
      </c>
      <c r="F78" t="s">
        <v>15</v>
      </c>
      <c r="G78" t="s">
        <v>17</v>
      </c>
    </row>
    <row r="79" spans="1:7" x14ac:dyDescent="0.3">
      <c r="A79">
        <v>78</v>
      </c>
      <c r="B79">
        <v>31</v>
      </c>
      <c r="C79">
        <v>53254.05</v>
      </c>
      <c r="D79" t="s">
        <v>8</v>
      </c>
      <c r="E79" t="s">
        <v>12</v>
      </c>
      <c r="F79" t="s">
        <v>15</v>
      </c>
      <c r="G79" t="s">
        <v>17</v>
      </c>
    </row>
    <row r="80" spans="1:7" x14ac:dyDescent="0.3">
      <c r="A80">
        <v>79</v>
      </c>
      <c r="B80">
        <v>40</v>
      </c>
      <c r="C80">
        <v>57686.36</v>
      </c>
      <c r="D80" t="s">
        <v>7</v>
      </c>
      <c r="E80" t="s">
        <v>10</v>
      </c>
      <c r="F80" t="s">
        <v>15</v>
      </c>
      <c r="G80" t="s">
        <v>16</v>
      </c>
    </row>
    <row r="81" spans="1:7" x14ac:dyDescent="0.3">
      <c r="A81">
        <v>80</v>
      </c>
      <c r="B81">
        <v>57</v>
      </c>
      <c r="C81">
        <v>58152.33</v>
      </c>
      <c r="D81" t="s">
        <v>7</v>
      </c>
      <c r="E81" t="s">
        <v>11</v>
      </c>
      <c r="F81" t="s">
        <v>14</v>
      </c>
      <c r="G81" t="s">
        <v>16</v>
      </c>
    </row>
    <row r="82" spans="1:7" x14ac:dyDescent="0.3">
      <c r="A82">
        <v>81</v>
      </c>
      <c r="B82">
        <v>38</v>
      </c>
      <c r="C82">
        <v>50421.49</v>
      </c>
      <c r="D82" t="s">
        <v>7</v>
      </c>
      <c r="E82" t="s">
        <v>9</v>
      </c>
      <c r="F82" t="s">
        <v>15</v>
      </c>
      <c r="G82" t="s">
        <v>16</v>
      </c>
    </row>
    <row r="83" spans="1:7" x14ac:dyDescent="0.3">
      <c r="A83">
        <v>82</v>
      </c>
      <c r="B83">
        <v>33</v>
      </c>
      <c r="C83">
        <v>32043.69</v>
      </c>
      <c r="D83" t="s">
        <v>7</v>
      </c>
      <c r="E83" t="s">
        <v>11</v>
      </c>
      <c r="F83" t="s">
        <v>15</v>
      </c>
      <c r="G83" t="s">
        <v>17</v>
      </c>
    </row>
    <row r="84" spans="1:7" x14ac:dyDescent="0.3">
      <c r="A84">
        <v>83</v>
      </c>
      <c r="B84">
        <v>62</v>
      </c>
      <c r="C84">
        <v>61845.09</v>
      </c>
      <c r="D84" t="s">
        <v>7</v>
      </c>
      <c r="E84" t="s">
        <v>9</v>
      </c>
      <c r="F84" t="s">
        <v>14</v>
      </c>
      <c r="G84" t="s">
        <v>16</v>
      </c>
    </row>
    <row r="85" spans="1:7" x14ac:dyDescent="0.3">
      <c r="A85">
        <v>84</v>
      </c>
      <c r="B85">
        <v>35</v>
      </c>
      <c r="C85">
        <v>56472.34</v>
      </c>
      <c r="D85" t="s">
        <v>8</v>
      </c>
      <c r="E85" t="s">
        <v>11</v>
      </c>
      <c r="F85" t="s">
        <v>13</v>
      </c>
      <c r="G85" t="s">
        <v>17</v>
      </c>
    </row>
    <row r="86" spans="1:7" x14ac:dyDescent="0.3">
      <c r="A86">
        <v>85</v>
      </c>
      <c r="B86">
        <v>64</v>
      </c>
      <c r="C86">
        <v>33548.720000000001</v>
      </c>
      <c r="D86" t="s">
        <v>8</v>
      </c>
      <c r="E86" t="s">
        <v>9</v>
      </c>
      <c r="F86" t="s">
        <v>14</v>
      </c>
      <c r="G86" t="s">
        <v>18</v>
      </c>
    </row>
    <row r="87" spans="1:7" x14ac:dyDescent="0.3">
      <c r="A87">
        <v>86</v>
      </c>
      <c r="B87">
        <v>41</v>
      </c>
      <c r="C87">
        <v>39765.480000000003</v>
      </c>
      <c r="D87" t="s">
        <v>7</v>
      </c>
      <c r="E87" t="s">
        <v>9</v>
      </c>
      <c r="F87" t="s">
        <v>15</v>
      </c>
      <c r="G87" t="s">
        <v>17</v>
      </c>
    </row>
    <row r="88" spans="1:7" x14ac:dyDescent="0.3">
      <c r="A88">
        <v>87</v>
      </c>
      <c r="B88">
        <v>43</v>
      </c>
      <c r="C88">
        <v>63312.67</v>
      </c>
      <c r="D88" t="s">
        <v>7</v>
      </c>
      <c r="E88" t="s">
        <v>12</v>
      </c>
      <c r="F88" t="s">
        <v>15</v>
      </c>
      <c r="G88" t="s">
        <v>17</v>
      </c>
    </row>
    <row r="89" spans="1:7" x14ac:dyDescent="0.3">
      <c r="A89">
        <v>88</v>
      </c>
      <c r="B89">
        <v>42</v>
      </c>
      <c r="C89">
        <v>59082.25</v>
      </c>
      <c r="D89" t="s">
        <v>8</v>
      </c>
      <c r="E89" t="s">
        <v>9</v>
      </c>
      <c r="F89" t="s">
        <v>14</v>
      </c>
      <c r="G89" t="s">
        <v>18</v>
      </c>
    </row>
    <row r="90" spans="1:7" x14ac:dyDescent="0.3">
      <c r="A90">
        <v>89</v>
      </c>
      <c r="B90">
        <v>62</v>
      </c>
      <c r="C90">
        <v>39195.53</v>
      </c>
      <c r="D90" t="s">
        <v>8</v>
      </c>
      <c r="E90" t="s">
        <v>12</v>
      </c>
      <c r="F90" t="s">
        <v>13</v>
      </c>
      <c r="G90" t="s">
        <v>17</v>
      </c>
    </row>
    <row r="91" spans="1:7" x14ac:dyDescent="0.3">
      <c r="A91">
        <v>90</v>
      </c>
      <c r="B91">
        <v>58</v>
      </c>
      <c r="C91">
        <v>45950.99</v>
      </c>
      <c r="D91" t="s">
        <v>7</v>
      </c>
      <c r="E91" t="s">
        <v>9</v>
      </c>
      <c r="F91" t="s">
        <v>15</v>
      </c>
      <c r="G91" t="s">
        <v>16</v>
      </c>
    </row>
    <row r="92" spans="1:7" x14ac:dyDescent="0.3">
      <c r="A92">
        <v>91</v>
      </c>
      <c r="B92">
        <v>46</v>
      </c>
      <c r="C92">
        <v>47848.07</v>
      </c>
      <c r="D92" t="s">
        <v>8</v>
      </c>
      <c r="E92" t="s">
        <v>10</v>
      </c>
      <c r="F92" t="s">
        <v>15</v>
      </c>
      <c r="G92" t="s">
        <v>16</v>
      </c>
    </row>
    <row r="93" spans="1:7" x14ac:dyDescent="0.3">
      <c r="A93">
        <v>92</v>
      </c>
      <c r="B93">
        <v>32</v>
      </c>
      <c r="C93">
        <v>59255.06</v>
      </c>
      <c r="D93" t="s">
        <v>7</v>
      </c>
      <c r="E93" t="s">
        <v>10</v>
      </c>
      <c r="F93" t="s">
        <v>15</v>
      </c>
      <c r="G93" t="s">
        <v>17</v>
      </c>
    </row>
    <row r="94" spans="1:7" x14ac:dyDescent="0.3">
      <c r="A94">
        <v>93</v>
      </c>
      <c r="B94">
        <v>62</v>
      </c>
      <c r="C94">
        <v>68734.11</v>
      </c>
      <c r="D94" t="s">
        <v>8</v>
      </c>
      <c r="E94" t="s">
        <v>10</v>
      </c>
      <c r="F94" t="s">
        <v>14</v>
      </c>
      <c r="G94" t="s">
        <v>16</v>
      </c>
    </row>
    <row r="95" spans="1:7" x14ac:dyDescent="0.3">
      <c r="A95">
        <v>94</v>
      </c>
      <c r="B95">
        <v>18</v>
      </c>
      <c r="C95">
        <v>50984.74</v>
      </c>
      <c r="D95" t="s">
        <v>7</v>
      </c>
      <c r="E95" t="s">
        <v>9</v>
      </c>
      <c r="F95" t="s">
        <v>15</v>
      </c>
      <c r="G95" t="s">
        <v>17</v>
      </c>
    </row>
    <row r="96" spans="1:7" x14ac:dyDescent="0.3">
      <c r="A96">
        <v>95</v>
      </c>
      <c r="B96">
        <v>42</v>
      </c>
      <c r="C96">
        <v>67538.11</v>
      </c>
      <c r="D96" t="s">
        <v>8</v>
      </c>
      <c r="E96" t="s">
        <v>12</v>
      </c>
      <c r="F96" t="s">
        <v>13</v>
      </c>
      <c r="G96" t="s">
        <v>16</v>
      </c>
    </row>
    <row r="97" spans="1:7" x14ac:dyDescent="0.3">
      <c r="A97">
        <v>96</v>
      </c>
      <c r="B97">
        <v>24</v>
      </c>
      <c r="C97">
        <v>63099.75</v>
      </c>
      <c r="D97" t="s">
        <v>7</v>
      </c>
      <c r="E97" t="s">
        <v>12</v>
      </c>
      <c r="F97" t="s">
        <v>15</v>
      </c>
      <c r="G97" t="s">
        <v>16</v>
      </c>
    </row>
    <row r="98" spans="1:7" x14ac:dyDescent="0.3">
      <c r="A98">
        <v>97</v>
      </c>
      <c r="B98">
        <v>26</v>
      </c>
      <c r="C98">
        <v>53084.75</v>
      </c>
      <c r="D98" t="s">
        <v>8</v>
      </c>
      <c r="E98" t="s">
        <v>9</v>
      </c>
      <c r="F98" t="s">
        <v>15</v>
      </c>
      <c r="G98" t="s">
        <v>17</v>
      </c>
    </row>
    <row r="99" spans="1:7" x14ac:dyDescent="0.3">
      <c r="A99">
        <v>98</v>
      </c>
      <c r="B99">
        <v>41</v>
      </c>
      <c r="C99">
        <v>28347.75</v>
      </c>
      <c r="D99" t="s">
        <v>8</v>
      </c>
      <c r="E99" t="s">
        <v>10</v>
      </c>
      <c r="F99" t="s">
        <v>13</v>
      </c>
      <c r="G99" t="s">
        <v>16</v>
      </c>
    </row>
    <row r="100" spans="1:7" x14ac:dyDescent="0.3">
      <c r="A100">
        <v>99</v>
      </c>
      <c r="B100">
        <v>18</v>
      </c>
      <c r="C100">
        <v>34584.339999999997</v>
      </c>
      <c r="D100" t="s">
        <v>7</v>
      </c>
      <c r="E100" t="s">
        <v>10</v>
      </c>
      <c r="F100" t="s">
        <v>15</v>
      </c>
      <c r="G100" t="s">
        <v>17</v>
      </c>
    </row>
    <row r="101" spans="1:7" x14ac:dyDescent="0.3">
      <c r="A101">
        <v>100</v>
      </c>
      <c r="B101">
        <v>61</v>
      </c>
      <c r="C101">
        <v>61118.61</v>
      </c>
      <c r="D101" t="s">
        <v>8</v>
      </c>
      <c r="E101" t="s">
        <v>12</v>
      </c>
      <c r="F101" t="s">
        <v>14</v>
      </c>
      <c r="G10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25EE4-09E2-4E28-9C21-FB4F792064D1}">
  <dimension ref="A1:AK106"/>
  <sheetViews>
    <sheetView tabSelected="1" topLeftCell="D1" workbookViewId="0">
      <selection activeCell="W12" sqref="W12"/>
    </sheetView>
  </sheetViews>
  <sheetFormatPr defaultRowHeight="14.4" x14ac:dyDescent="0.3"/>
  <cols>
    <col min="1" max="2" width="29.5546875" customWidth="1"/>
    <col min="3" max="3" width="26.5546875" customWidth="1"/>
    <col min="4" max="4" width="34" customWidth="1"/>
    <col min="5" max="5" width="35.33203125" customWidth="1"/>
    <col min="6" max="6" width="41.5546875" customWidth="1"/>
    <col min="7" max="7" width="12.77734375" customWidth="1"/>
    <col min="8" max="8" width="27.5546875" customWidth="1"/>
    <col min="9" max="9" width="14" customWidth="1"/>
    <col min="10" max="10" width="12.77734375" customWidth="1"/>
    <col min="12" max="16" width="15.77734375" customWidth="1"/>
    <col min="17" max="20" width="11.77734375" customWidth="1"/>
    <col min="21" max="21" width="16.77734375" customWidth="1"/>
    <col min="22" max="31" width="10.77734375" customWidth="1"/>
  </cols>
  <sheetData>
    <row r="1" spans="1:3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</v>
      </c>
      <c r="H1" s="1" t="s">
        <v>6</v>
      </c>
      <c r="I1" s="2" t="s">
        <v>21</v>
      </c>
      <c r="J1" s="2" t="s">
        <v>19</v>
      </c>
      <c r="L1" s="3" t="s">
        <v>24</v>
      </c>
      <c r="M1" s="3" t="s">
        <v>25</v>
      </c>
      <c r="N1" s="4" t="s">
        <v>26</v>
      </c>
      <c r="O1" s="4" t="s">
        <v>27</v>
      </c>
      <c r="P1" s="4"/>
      <c r="Q1" s="4" t="s">
        <v>28</v>
      </c>
      <c r="R1" s="4" t="s">
        <v>29</v>
      </c>
      <c r="S1" s="4" t="s">
        <v>30</v>
      </c>
      <c r="T1" s="4" t="s">
        <v>45</v>
      </c>
      <c r="U1" s="4" t="s">
        <v>32</v>
      </c>
      <c r="V1">
        <v>-1.5638826588250365</v>
      </c>
      <c r="W1">
        <v>8.2166877532768634E-2</v>
      </c>
      <c r="X1">
        <v>1.1869565217391307</v>
      </c>
      <c r="Y1">
        <v>-0.15974400878586156</v>
      </c>
      <c r="Z1">
        <v>-0.42027559569886735</v>
      </c>
      <c r="AA1">
        <v>1.9104121677778654</v>
      </c>
      <c r="AB1">
        <v>-1.4217391304347826</v>
      </c>
      <c r="AC1">
        <v>-1.3007726429705861</v>
      </c>
      <c r="AD1">
        <v>0.15152793586421723</v>
      </c>
      <c r="AE1">
        <v>-0.57646563070947798</v>
      </c>
      <c r="AF1">
        <v>-0.11739130434782591</v>
      </c>
      <c r="AG1">
        <v>0.98128462539886296</v>
      </c>
      <c r="AH1">
        <v>1.0807086746542298</v>
      </c>
      <c r="AI1">
        <v>-0.96704706490278602</v>
      </c>
      <c r="AJ1">
        <v>-0.11739130434782591</v>
      </c>
      <c r="AK1">
        <v>-0.15974400878586156</v>
      </c>
    </row>
    <row r="2" spans="1:37" x14ac:dyDescent="0.3">
      <c r="A2">
        <v>1</v>
      </c>
      <c r="B2">
        <v>56</v>
      </c>
      <c r="C2">
        <v>59544.58</v>
      </c>
      <c r="D2" t="s">
        <v>7</v>
      </c>
      <c r="E2" t="s">
        <v>9</v>
      </c>
      <c r="F2" t="s">
        <v>13</v>
      </c>
      <c r="G2">
        <f>IF(F2="Low Spender",1,IF(F2="Moderate Spender",2,3))</f>
        <v>1</v>
      </c>
      <c r="H2" t="s">
        <v>16</v>
      </c>
      <c r="I2">
        <f>IF(H2="Never Engaged",1,IF(H2="Rarely Engaged",2,3))</f>
        <v>3</v>
      </c>
      <c r="J2">
        <f ca="1">RAND()</f>
        <v>0.88141732760493152</v>
      </c>
      <c r="L2">
        <f>(B2-B$103)/B$104</f>
        <v>1.0807086746542298</v>
      </c>
      <c r="M2">
        <f>(C2-C$103)/C$104</f>
        <v>0.56909170543289056</v>
      </c>
      <c r="N2">
        <f>(G2-G$103)/G$104</f>
        <v>-1.4217391304347826</v>
      </c>
      <c r="O2">
        <f>(I2-I$103)/I$104</f>
        <v>0.98128462539886296</v>
      </c>
      <c r="Q2">
        <f>SQRT(($L2-V$1)^2+($M2-W$1)^2+($N2-X$1)^2+($O2-Y$1)^2)</f>
        <v>3.9164012127002188</v>
      </c>
      <c r="R2">
        <f>SQRT(($L2-Z$1)^2+($M2-AA$1)^2+($N2-AB$1)^2+($O2-AC$1)^2)</f>
        <v>3.0430050507139468</v>
      </c>
      <c r="S2">
        <f>SQRT(($L2-AD$1)^2+($M2-AE$1)^2+($N2-AF$1)^2+($O2-AG$1)^2)</f>
        <v>1.9690103369829532</v>
      </c>
      <c r="T2">
        <f>SQRT(($L2-AH$1)^2+($M2-AI$1)^2+($N2-AJ$1)^2+($O2-AK$1)^2)</f>
        <v>2.3158134461082205</v>
      </c>
      <c r="U2" t="str">
        <f>IF(Q2=MIN(Q2,R2,S2,T2),"Cluster 1",IF(R2=MIN(Q2,R2,S2,T2),"Cluster 2",IF(S2=MIN(Q2,R2,S2,T2),"Cluster 3","Cluster 4")))</f>
        <v>Cluster 3</v>
      </c>
      <c r="V2" t="s">
        <v>31</v>
      </c>
      <c r="W2" t="s">
        <v>2</v>
      </c>
      <c r="X2" t="s">
        <v>20</v>
      </c>
      <c r="Y2" t="s">
        <v>21</v>
      </c>
      <c r="Z2" t="s">
        <v>31</v>
      </c>
      <c r="AA2" t="s">
        <v>2</v>
      </c>
      <c r="AB2" t="s">
        <v>20</v>
      </c>
      <c r="AC2" t="s">
        <v>21</v>
      </c>
      <c r="AD2" t="s">
        <v>31</v>
      </c>
      <c r="AE2" t="s">
        <v>2</v>
      </c>
      <c r="AF2" t="s">
        <v>20</v>
      </c>
      <c r="AG2" t="s">
        <v>21</v>
      </c>
      <c r="AH2" t="s">
        <v>31</v>
      </c>
      <c r="AI2" t="s">
        <v>2</v>
      </c>
      <c r="AJ2" t="s">
        <v>20</v>
      </c>
      <c r="AK2" t="s">
        <v>21</v>
      </c>
    </row>
    <row r="3" spans="1:37" x14ac:dyDescent="0.3">
      <c r="A3">
        <v>2</v>
      </c>
      <c r="B3">
        <v>46</v>
      </c>
      <c r="C3">
        <v>36399.19</v>
      </c>
      <c r="D3" t="s">
        <v>7</v>
      </c>
      <c r="E3" t="s">
        <v>10</v>
      </c>
      <c r="F3" t="s">
        <v>14</v>
      </c>
      <c r="G3">
        <f>IF(F3="Low Spender",1,IF(F3="Moderate Spender",2,3))</f>
        <v>3</v>
      </c>
      <c r="H3" t="s">
        <v>16</v>
      </c>
      <c r="I3">
        <f>IF(H3="Never Engaged",1,IF(H3="Rarely Engaged",2,3))</f>
        <v>3</v>
      </c>
      <c r="J3">
        <f ca="1">RAND()</f>
        <v>9.8381069654681186E-2</v>
      </c>
      <c r="L3">
        <f>(B3-B$103)/B$104</f>
        <v>0.36595426020037397</v>
      </c>
      <c r="M3">
        <f>(C3-C$103)/C$104</f>
        <v>-0.97745610175216668</v>
      </c>
      <c r="N3">
        <f>(G3-G$103)/G$104</f>
        <v>1.1869565217391307</v>
      </c>
      <c r="O3">
        <f>(I3-I$103)/I$104</f>
        <v>0.98128462539886296</v>
      </c>
      <c r="Q3">
        <f>SQRT(($L3-V$1)^2+($M3-W$1)^2+($N3-X$1)^2+($O3-Y$1)^2)</f>
        <v>2.4797213021409541</v>
      </c>
      <c r="R3">
        <f>SQRT(($L3-Z$1)^2+($M3-AA$1)^2+($N3-AB$1)^2+($O3-AC$1)^2)</f>
        <v>4.5794125071077225</v>
      </c>
      <c r="S3">
        <f>SQRT(($L3-AD$1)^2+($M3-AE$1)^2+($N3-AF$1)^2+($O3-AG$1)^2)</f>
        <v>1.3813382126956169</v>
      </c>
      <c r="T3">
        <f>SQRT(($L3-AH$1)^2+($M3-AI$1)^2+($N3-AJ$1)^2+($O3-AK$1)^2)</f>
        <v>1.8746337819629286</v>
      </c>
      <c r="U3" t="str">
        <f>IF(Q3=MIN(Q3,R3,S3,T3),"Cluster 1",IF(R3=MIN(Q3,R3,S3,T3),"Cluster 2",IF(S3=MIN(Q3,R3,S3,T3),"Cluster 3","Cluster 4")))</f>
        <v>Cluster 3</v>
      </c>
      <c r="V3" t="s">
        <v>28</v>
      </c>
      <c r="W3" t="s">
        <v>28</v>
      </c>
      <c r="X3" t="s">
        <v>28</v>
      </c>
      <c r="Y3" t="s">
        <v>28</v>
      </c>
      <c r="Z3" t="s">
        <v>29</v>
      </c>
      <c r="AA3" t="s">
        <v>29</v>
      </c>
      <c r="AB3" t="s">
        <v>29</v>
      </c>
      <c r="AC3" t="s">
        <v>29</v>
      </c>
      <c r="AD3" t="s">
        <v>30</v>
      </c>
      <c r="AE3" t="s">
        <v>30</v>
      </c>
      <c r="AF3" t="s">
        <v>30</v>
      </c>
      <c r="AG3" t="s">
        <v>30</v>
      </c>
      <c r="AH3" t="s">
        <v>45</v>
      </c>
      <c r="AI3" t="s">
        <v>45</v>
      </c>
      <c r="AJ3" t="s">
        <v>45</v>
      </c>
      <c r="AK3" t="s">
        <v>45</v>
      </c>
    </row>
    <row r="4" spans="1:37" x14ac:dyDescent="0.3">
      <c r="A4">
        <v>3</v>
      </c>
      <c r="B4">
        <v>32</v>
      </c>
      <c r="C4">
        <v>57140.639999999999</v>
      </c>
      <c r="D4" t="s">
        <v>7</v>
      </c>
      <c r="E4" t="s">
        <v>9</v>
      </c>
      <c r="F4" t="s">
        <v>15</v>
      </c>
      <c r="G4">
        <f>IF(F4="Low Spender",1,IF(F4="Moderate Spender",2,3))</f>
        <v>2</v>
      </c>
      <c r="H4" t="s">
        <v>17</v>
      </c>
      <c r="I4">
        <f>IF(H4="Never Engaged",1,IF(H4="Rarely Engaged",2,3))</f>
        <v>1</v>
      </c>
      <c r="J4">
        <f ca="1">RAND()</f>
        <v>0.11670914331461224</v>
      </c>
      <c r="L4">
        <f>(B4-B$103)/B$104</f>
        <v>-0.63470192003502413</v>
      </c>
      <c r="M4">
        <f>(C4-C$103)/C$104</f>
        <v>0.40846325477362533</v>
      </c>
      <c r="N4">
        <f>(G4-G$103)/G$104</f>
        <v>-0.11739130434782591</v>
      </c>
      <c r="O4">
        <f>(I4-I$103)/I$104</f>
        <v>-1.3007726429705861</v>
      </c>
      <c r="Q4">
        <f>SQRT(($L4-V$1)^2+($M4-W$1)^2+($N4-X$1)^2+($O4-Y$1)^2)</f>
        <v>1.9932676103790199</v>
      </c>
      <c r="R4">
        <f>SQRT(($L4-Z$1)^2+($M4-AA$1)^2+($N4-AB$1)^2+($O4-AC$1)^2)</f>
        <v>2.0007879540972611</v>
      </c>
      <c r="S4">
        <f>SQRT(($L4-AD$1)^2+($M4-AE$1)^2+($N4-AF$1)^2+($O4-AG$1)^2)</f>
        <v>2.6069191916674677</v>
      </c>
      <c r="T4">
        <f>SQRT(($L4-AH$1)^2+($M4-AI$1)^2+($N4-AJ$1)^2+($O4-AK$1)^2)</f>
        <v>2.4772178935123774</v>
      </c>
      <c r="U4" t="str">
        <f>IF(Q4=MIN(Q4,R4,S4,T4),"Cluster 1",IF(R4=MIN(Q4,R4,S4,T4),"Cluster 2",IF(S4=MIN(Q4,R4,S4,T4),"Cluster 3","Cluster 4")))</f>
        <v>Cluster 1</v>
      </c>
    </row>
    <row r="5" spans="1:37" x14ac:dyDescent="0.3">
      <c r="A5">
        <v>4</v>
      </c>
      <c r="B5">
        <v>60</v>
      </c>
      <c r="C5">
        <v>69554.92</v>
      </c>
      <c r="D5" t="s">
        <v>8</v>
      </c>
      <c r="E5" t="s">
        <v>10</v>
      </c>
      <c r="F5" t="s">
        <v>13</v>
      </c>
      <c r="G5">
        <f>IF(F5="Low Spender",1,IF(F5="Moderate Spender",2,3))</f>
        <v>1</v>
      </c>
      <c r="H5" t="s">
        <v>18</v>
      </c>
      <c r="I5">
        <f>IF(H5="Never Engaged",1,IF(H5="Rarely Engaged",2,3))</f>
        <v>2</v>
      </c>
      <c r="J5">
        <f ca="1">RAND()</f>
        <v>0.640223873850012</v>
      </c>
      <c r="L5">
        <f>(B5-B$103)/B$104</f>
        <v>1.366610440435772</v>
      </c>
      <c r="M5">
        <f>(C5-C$103)/C$104</f>
        <v>1.2379708807752312</v>
      </c>
      <c r="N5">
        <f>(G5-G$103)/G$104</f>
        <v>-1.4217391304347826</v>
      </c>
      <c r="O5">
        <f>(I5-I$103)/I$104</f>
        <v>-0.15974400878586156</v>
      </c>
      <c r="Q5">
        <f>SQRT(($L5-V$1)^2+($M5-W$1)^2+($N5-X$1)^2+($O5-Y$1)^2)</f>
        <v>4.0901058304642435</v>
      </c>
      <c r="R5">
        <f>SQRT(($L5-Z$1)^2+($M5-AA$1)^2+($N5-AB$1)^2+($O5-AC$1)^2)</f>
        <v>2.2242044273465917</v>
      </c>
      <c r="S5">
        <f>SQRT(($L5-AD$1)^2+($M5-AE$1)^2+($N5-AF$1)^2+($O5-AG$1)^2)</f>
        <v>2.7878082686174657</v>
      </c>
      <c r="T5">
        <f>SQRT(($L5-AH$1)^2+($M5-AI$1)^2+($N5-AJ$1)^2+($O5-AK$1)^2)</f>
        <v>2.5778221839096811</v>
      </c>
      <c r="U5" t="str">
        <f>IF(Q5=MIN(Q5,R5,S5,T5),"Cluster 1",IF(R5=MIN(Q5,R5,S5,T5),"Cluster 2",IF(S5=MIN(Q5,R5,S5,T5),"Cluster 3","Cluster 4")))</f>
        <v>Cluster 2</v>
      </c>
    </row>
    <row r="6" spans="1:37" x14ac:dyDescent="0.3">
      <c r="A6">
        <v>5</v>
      </c>
      <c r="B6">
        <v>25</v>
      </c>
      <c r="C6">
        <v>53173.81</v>
      </c>
      <c r="D6" t="s">
        <v>7</v>
      </c>
      <c r="E6" t="s">
        <v>9</v>
      </c>
      <c r="F6" t="s">
        <v>15</v>
      </c>
      <c r="G6">
        <f>IF(F6="Low Spender",1,IF(F6="Moderate Spender",2,3))</f>
        <v>2</v>
      </c>
      <c r="H6" t="s">
        <v>16</v>
      </c>
      <c r="I6">
        <f>IF(H6="Never Engaged",1,IF(H6="Rarely Engaged",2,3))</f>
        <v>3</v>
      </c>
      <c r="J6">
        <f ca="1">RAND()</f>
        <v>0.51847741252629653</v>
      </c>
      <c r="L6">
        <f>(B6-B$103)/B$104</f>
        <v>-1.1350300101527231</v>
      </c>
      <c r="M6">
        <f>(C6-C$103)/C$104</f>
        <v>0.14340432779179857</v>
      </c>
      <c r="N6">
        <f>(G6-G$103)/G$104</f>
        <v>-0.11739130434782591</v>
      </c>
      <c r="O6">
        <f>(I6-I$103)/I$104</f>
        <v>0.98128462539886296</v>
      </c>
      <c r="Q6">
        <f>SQRT(($L6-V$1)^2+($M6-W$1)^2+($N6-X$1)^2+($O6-Y$1)^2)</f>
        <v>1.7863186208050099</v>
      </c>
      <c r="R6">
        <f>SQRT(($L6-Z$1)^2+($M6-AA$1)^2+($N6-AB$1)^2+($O6-AC$1)^2)</f>
        <v>3.2468906983588317</v>
      </c>
      <c r="S6">
        <f>SQRT(($L6-AD$1)^2+($M6-AE$1)^2+($N6-AF$1)^2+($O6-AG$1)^2)</f>
        <v>1.4742605284046499</v>
      </c>
      <c r="T6">
        <f>SQRT(($L6-AH$1)^2+($M6-AI$1)^2+($N6-AJ$1)^2+($O6-AK$1)^2)</f>
        <v>2.7284696367958441</v>
      </c>
      <c r="U6" t="str">
        <f>IF(Q6=MIN(Q6,R6,S6,T6),"Cluster 1",IF(R6=MIN(Q6,R6,S6,T6),"Cluster 2",IF(S6=MIN(Q6,R6,S6,T6),"Cluster 3","Cluster 4")))</f>
        <v>Cluster 3</v>
      </c>
    </row>
    <row r="7" spans="1:37" x14ac:dyDescent="0.3">
      <c r="A7">
        <v>6</v>
      </c>
      <c r="B7">
        <v>38</v>
      </c>
      <c r="C7">
        <v>58955.67</v>
      </c>
      <c r="D7" t="s">
        <v>7</v>
      </c>
      <c r="E7" t="s">
        <v>11</v>
      </c>
      <c r="F7" t="s">
        <v>14</v>
      </c>
      <c r="G7">
        <f>IF(F7="Low Spender",1,IF(F7="Moderate Spender",2,3))</f>
        <v>3</v>
      </c>
      <c r="H7" t="s">
        <v>17</v>
      </c>
      <c r="I7">
        <f>IF(H7="Never Engaged",1,IF(H7="Rarely Engaged",2,3))</f>
        <v>1</v>
      </c>
      <c r="J7">
        <f ca="1">RAND()</f>
        <v>0.74627323569926118</v>
      </c>
      <c r="L7">
        <f>(B7-B$103)/B$104</f>
        <v>-0.20584927136271064</v>
      </c>
      <c r="M7">
        <f>(C7-C$103)/C$104</f>
        <v>0.52974143010249608</v>
      </c>
      <c r="N7">
        <f>(G7-G$103)/G$104</f>
        <v>1.1869565217391307</v>
      </c>
      <c r="O7">
        <f>(I7-I$103)/I$104</f>
        <v>-1.3007726429705861</v>
      </c>
      <c r="Q7">
        <f>SQRT(($L7-V$1)^2+($M7-W$1)^2+($N7-X$1)^2+($O7-Y$1)^2)</f>
        <v>1.8293507060156207</v>
      </c>
      <c r="R7">
        <f>SQRT(($L7-Z$1)^2+($M7-AA$1)^2+($N7-AB$1)^2+($O7-AC$1)^2)</f>
        <v>2.9593112948982641</v>
      </c>
      <c r="S7">
        <f>SQRT(($L7-AD$1)^2+($M7-AE$1)^2+($N7-AF$1)^2+($O7-AG$1)^2)</f>
        <v>2.8741122380956501</v>
      </c>
      <c r="T7">
        <f>SQRT(($L7-AH$1)^2+($M7-AI$1)^2+($N7-AJ$1)^2+($O7-AK$1)^2)</f>
        <v>2.6265712902349962</v>
      </c>
      <c r="U7" t="str">
        <f>IF(Q7=MIN(Q7,R7,S7,T7),"Cluster 1",IF(R7=MIN(Q7,R7,S7,T7),"Cluster 2",IF(S7=MIN(Q7,R7,S7,T7),"Cluster 3","Cluster 4")))</f>
        <v>Cluster 1</v>
      </c>
    </row>
    <row r="8" spans="1:37" x14ac:dyDescent="0.3">
      <c r="A8">
        <v>7</v>
      </c>
      <c r="B8">
        <v>56</v>
      </c>
      <c r="C8">
        <v>36554.97</v>
      </c>
      <c r="D8" t="s">
        <v>8</v>
      </c>
      <c r="E8" t="s">
        <v>9</v>
      </c>
      <c r="F8" t="s">
        <v>15</v>
      </c>
      <c r="G8">
        <f>IF(F8="Low Spender",1,IF(F8="Moderate Spender",2,3))</f>
        <v>2</v>
      </c>
      <c r="H8" t="s">
        <v>18</v>
      </c>
      <c r="I8">
        <f>IF(H8="Never Engaged",1,IF(H8="Rarely Engaged",2,3))</f>
        <v>2</v>
      </c>
      <c r="J8">
        <f ca="1">RAND()</f>
        <v>0.95165591075826583</v>
      </c>
      <c r="L8">
        <f>(B8-B$103)/B$104</f>
        <v>1.0807086746542298</v>
      </c>
      <c r="M8">
        <f>(C8-C$103)/C$104</f>
        <v>-0.96704706490278602</v>
      </c>
      <c r="N8">
        <f>(G8-G$103)/G$104</f>
        <v>-0.11739130434782591</v>
      </c>
      <c r="O8">
        <f>(I8-I$103)/I$104</f>
        <v>-0.15974400878586156</v>
      </c>
      <c r="Q8">
        <f>SQRT(($L8-V$1)^2+($M8-W$1)^2+($N8-X$1)^2+($O8-Y$1)^2)</f>
        <v>3.129862052796029</v>
      </c>
      <c r="R8">
        <f>SQRT(($L8-Z$1)^2+($M8-AA$1)^2+($N8-AB$1)^2+($O8-AC$1)^2)</f>
        <v>3.6791296540124505</v>
      </c>
      <c r="S8">
        <f>SQRT(($L8-AD$1)^2+($M8-AE$1)^2+($N8-AF$1)^2+($O8-AG$1)^2)</f>
        <v>1.5224575679158723</v>
      </c>
      <c r="T8">
        <f>SQRT(($L8-AH$1)^2+($M8-AI$1)^2+($N8-AJ$1)^2+($O8-AK$1)^2)</f>
        <v>0</v>
      </c>
      <c r="U8" t="str">
        <f>IF(Q8=MIN(Q8,R8,S8,T8),"Cluster 1",IF(R8=MIN(Q8,R8,S8,T8),"Cluster 2",IF(S8=MIN(Q8,R8,S8,T8),"Cluster 3","Cluster 4")))</f>
        <v>Cluster 4</v>
      </c>
    </row>
    <row r="9" spans="1:37" x14ac:dyDescent="0.3">
      <c r="A9">
        <v>8</v>
      </c>
      <c r="B9">
        <v>36</v>
      </c>
      <c r="C9">
        <v>48320.18</v>
      </c>
      <c r="D9" t="s">
        <v>7</v>
      </c>
      <c r="E9" t="s">
        <v>11</v>
      </c>
      <c r="F9" t="s">
        <v>15</v>
      </c>
      <c r="G9">
        <f>IF(F9="Low Spender",1,IF(F9="Moderate Spender",2,3))</f>
        <v>2</v>
      </c>
      <c r="H9" t="s">
        <v>17</v>
      </c>
      <c r="I9">
        <f>IF(H9="Never Engaged",1,IF(H9="Rarely Engaged",2,3))</f>
        <v>1</v>
      </c>
      <c r="J9">
        <f ca="1">RAND()</f>
        <v>0.9632494012255497</v>
      </c>
      <c r="L9">
        <f>(B9-B$103)/B$104</f>
        <v>-0.34880015425348182</v>
      </c>
      <c r="M9">
        <f>(C9-C$103)/C$104</f>
        <v>-0.18090953485590816</v>
      </c>
      <c r="N9">
        <f>(G9-G$103)/G$104</f>
        <v>-0.11739130434782591</v>
      </c>
      <c r="O9">
        <f>(I9-I$103)/I$104</f>
        <v>-1.3007726429705861</v>
      </c>
      <c r="Q9">
        <f>SQRT(($L9-V$1)^2+($M9-W$1)^2+($N9-X$1)^2+($O9-Y$1)^2)</f>
        <v>2.1328160462445904</v>
      </c>
      <c r="R9">
        <f>SQRT(($L9-Z$1)^2+($M9-AA$1)^2+($N9-AB$1)^2+($O9-AC$1)^2)</f>
        <v>2.4657774542838631</v>
      </c>
      <c r="S9">
        <f>SQRT(($L9-AD$1)^2+($M9-AE$1)^2+($N9-AF$1)^2+($O9-AG$1)^2)</f>
        <v>2.3695101179031872</v>
      </c>
      <c r="T9">
        <f>SQRT(($L9-AH$1)^2+($M9-AI$1)^2+($N9-AJ$1)^2+($O9-AK$1)^2)</f>
        <v>1.9908425482952592</v>
      </c>
      <c r="U9" t="str">
        <f>IF(Q9=MIN(Q9,R9,S9,T9),"Cluster 1",IF(R9=MIN(Q9,R9,S9,T9),"Cluster 2",IF(S9=MIN(Q9,R9,S9,T9),"Cluster 3","Cluster 4")))</f>
        <v>Cluster 4</v>
      </c>
    </row>
    <row r="10" spans="1:37" x14ac:dyDescent="0.3">
      <c r="A10">
        <v>9</v>
      </c>
      <c r="B10">
        <v>40</v>
      </c>
      <c r="C10">
        <v>72034.12</v>
      </c>
      <c r="D10" t="s">
        <v>8</v>
      </c>
      <c r="E10" t="s">
        <v>9</v>
      </c>
      <c r="F10" t="s">
        <v>15</v>
      </c>
      <c r="G10">
        <f>IF(F10="Low Spender",1,IF(F10="Moderate Spender",2,3))</f>
        <v>2</v>
      </c>
      <c r="H10" t="s">
        <v>16</v>
      </c>
      <c r="I10">
        <f>IF(H10="Never Engaged",1,IF(H10="Rarely Engaged",2,3))</f>
        <v>3</v>
      </c>
      <c r="J10">
        <f ca="1">RAND()</f>
        <v>0.20221331821024546</v>
      </c>
      <c r="L10">
        <f>(B10-B$103)/B$104</f>
        <v>-6.2898388471939487E-2</v>
      </c>
      <c r="M10">
        <f>(C10-C$103)/C$104</f>
        <v>1.4036281163445257</v>
      </c>
      <c r="N10">
        <f>(G10-G$103)/G$104</f>
        <v>-0.11739130434782591</v>
      </c>
      <c r="O10">
        <f>(I10-I$103)/I$104</f>
        <v>0.98128462539886296</v>
      </c>
      <c r="Q10">
        <f>SQRT(($L10-V$1)^2+($M10-W$1)^2+($N10-X$1)^2+($O10-Y$1)^2)</f>
        <v>2.6462205465487094</v>
      </c>
      <c r="R10">
        <f>SQRT(($L10-Z$1)^2+($M10-AA$1)^2+($N10-AB$1)^2+($O10-AC$1)^2)</f>
        <v>2.7006771688908158</v>
      </c>
      <c r="S10">
        <f>SQRT(($L10-AD$1)^2+($M10-AE$1)^2+($N10-AF$1)^2+($O10-AG$1)^2)</f>
        <v>1.9916701272275685</v>
      </c>
      <c r="T10">
        <f>SQRT(($L10-AH$1)^2+($M10-AI$1)^2+($N10-AJ$1)^2+($O10-AK$1)^2)</f>
        <v>2.8687774876841692</v>
      </c>
      <c r="U10" t="str">
        <f>IF(Q10=MIN(Q10,R10,S10,T10),"Cluster 1",IF(R10=MIN(Q10,R10,S10,T10),"Cluster 2",IF(S10=MIN(Q10,R10,S10,T10),"Cluster 3","Cluster 4")))</f>
        <v>Cluster 3</v>
      </c>
    </row>
    <row r="11" spans="1:37" x14ac:dyDescent="0.3">
      <c r="A11">
        <v>10</v>
      </c>
      <c r="B11">
        <v>28</v>
      </c>
      <c r="C11">
        <v>33141.519999999997</v>
      </c>
      <c r="D11" t="s">
        <v>7</v>
      </c>
      <c r="E11" t="s">
        <v>9</v>
      </c>
      <c r="F11" t="s">
        <v>15</v>
      </c>
      <c r="G11">
        <f>IF(F11="Low Spender",1,IF(F11="Moderate Spender",2,3))</f>
        <v>2</v>
      </c>
      <c r="H11" t="s">
        <v>16</v>
      </c>
      <c r="I11">
        <f>IF(H11="Never Engaged",1,IF(H11="Rarely Engaged",2,3))</f>
        <v>3</v>
      </c>
      <c r="J11">
        <f ca="1">RAND()</f>
        <v>0.7331606910125632</v>
      </c>
      <c r="L11">
        <f>(B11-B$103)/B$104</f>
        <v>-0.92060368581656637</v>
      </c>
      <c r="M11">
        <f>(C11-C$103)/C$104</f>
        <v>-1.1951297894728123</v>
      </c>
      <c r="N11">
        <f>(G11-G$103)/G$104</f>
        <v>-0.11739130434782591</v>
      </c>
      <c r="O11">
        <f>(I11-I$103)/I$104</f>
        <v>0.98128462539886296</v>
      </c>
      <c r="Q11">
        <f>SQRT(($L11-V$1)^2+($M11-W$1)^2+($N11-X$1)^2+($O11-Y$1)^2)</f>
        <v>2.2469010232107745</v>
      </c>
      <c r="R11">
        <f>SQRT(($L11-Z$1)^2+($M11-AA$1)^2+($N11-AB$1)^2+($O11-AC$1)^2)</f>
        <v>4.0992472081518567</v>
      </c>
      <c r="S11">
        <f>SQRT(($L11-AD$1)^2+($M11-AE$1)^2+($N11-AF$1)^2+($O11-AG$1)^2)</f>
        <v>1.2378253332139439</v>
      </c>
      <c r="T11">
        <f>SQRT(($L11-AH$1)^2+($M11-AI$1)^2+($N11-AJ$1)^2+($O11-AK$1)^2)</f>
        <v>2.3149987553884204</v>
      </c>
      <c r="U11" t="str">
        <f>IF(Q11=MIN(Q11,R11,S11,T11),"Cluster 1",IF(R11=MIN(Q11,R11,S11,T11),"Cluster 2",IF(S11=MIN(Q11,R11,S11,T11),"Cluster 3","Cluster 4")))</f>
        <v>Cluster 3</v>
      </c>
    </row>
    <row r="12" spans="1:37" x14ac:dyDescent="0.3">
      <c r="A12">
        <v>11</v>
      </c>
      <c r="B12">
        <v>28</v>
      </c>
      <c r="C12">
        <v>64250.080000000002</v>
      </c>
      <c r="D12" t="s">
        <v>7</v>
      </c>
      <c r="E12" t="s">
        <v>12</v>
      </c>
      <c r="F12" t="s">
        <v>14</v>
      </c>
      <c r="G12">
        <f>IF(F12="Low Spender",1,IF(F12="Moderate Spender",2,3))</f>
        <v>3</v>
      </c>
      <c r="H12" t="s">
        <v>16</v>
      </c>
      <c r="I12">
        <f>IF(H12="Never Engaged",1,IF(H12="Rarely Engaged",2,3))</f>
        <v>3</v>
      </c>
      <c r="J12">
        <f ca="1">RAND()</f>
        <v>0.14089011085571257</v>
      </c>
      <c r="L12">
        <f>(B12-B$103)/B$104</f>
        <v>-0.92060368581656637</v>
      </c>
      <c r="M12">
        <f>(C12-C$103)/C$104</f>
        <v>0.88350769525675121</v>
      </c>
      <c r="N12">
        <f>(G12-G$103)/G$104</f>
        <v>1.1869565217391307</v>
      </c>
      <c r="O12">
        <f>(I12-I$103)/I$104</f>
        <v>0.98128462539886296</v>
      </c>
      <c r="Q12">
        <f>SQRT(($L12-V$1)^2+($M12-W$1)^2+($N12-X$1)^2+($O12-Y$1)^2)</f>
        <v>1.5355459248406838</v>
      </c>
      <c r="R12">
        <f>SQRT(($L12-Z$1)^2+($M12-AA$1)^2+($N12-AB$1)^2+($O12-AC$1)^2)</f>
        <v>3.6493752034058655</v>
      </c>
      <c r="S12">
        <f>SQRT(($L12-AD$1)^2+($M12-AE$1)^2+($N12-AF$1)^2+($O12-AG$1)^2)</f>
        <v>2.2321092218255205</v>
      </c>
      <c r="T12">
        <f>SQRT(($L12-AH$1)^2+($M12-AI$1)^2+($N12-AJ$1)^2+($O12-AK$1)^2)</f>
        <v>3.2300268853323093</v>
      </c>
      <c r="U12" t="str">
        <f>IF(Q12=MIN(Q12,R12,S12,T12),"Cluster 1",IF(R12=MIN(Q12,R12,S12,T12),"Cluster 2",IF(S12=MIN(Q12,R12,S12,T12),"Cluster 3","Cluster 4")))</f>
        <v>Cluster 1</v>
      </c>
    </row>
    <row r="13" spans="1:37" x14ac:dyDescent="0.3">
      <c r="A13">
        <v>12</v>
      </c>
      <c r="B13">
        <v>41</v>
      </c>
      <c r="C13">
        <v>75897.75</v>
      </c>
      <c r="D13" t="s">
        <v>7</v>
      </c>
      <c r="E13" t="s">
        <v>11</v>
      </c>
      <c r="F13" t="s">
        <v>15</v>
      </c>
      <c r="G13">
        <f>IF(F13="Low Spender",1,IF(F13="Moderate Spender",2,3))</f>
        <v>2</v>
      </c>
      <c r="H13" t="s">
        <v>17</v>
      </c>
      <c r="I13">
        <f>IF(H13="Never Engaged",1,IF(H13="Rarely Engaged",2,3))</f>
        <v>1</v>
      </c>
      <c r="J13">
        <f ca="1">RAND()</f>
        <v>0.10467371934550629</v>
      </c>
      <c r="L13">
        <f>(B13-B$103)/B$104</f>
        <v>8.5770529734460858E-3</v>
      </c>
      <c r="M13">
        <f>(C13-C$103)/C$104</f>
        <v>1.661791340393652</v>
      </c>
      <c r="N13">
        <f>(G13-G$103)/G$104</f>
        <v>-0.11739130434782591</v>
      </c>
      <c r="O13">
        <f>(I13-I$103)/I$104</f>
        <v>-1.3007726429705861</v>
      </c>
      <c r="Q13">
        <f>SQRT(($L13-V$1)^2+($M13-W$1)^2+($N13-X$1)^2+($O13-Y$1)^2)</f>
        <v>2.8233158846195603</v>
      </c>
      <c r="R13">
        <f>SQRT(($L13-Z$1)^2+($M13-AA$1)^2+($N13-AB$1)^2+($O13-AC$1)^2)</f>
        <v>1.3953673930188564</v>
      </c>
      <c r="S13">
        <f>SQRT(($L13-AD$1)^2+($M13-AE$1)^2+($N13-AF$1)^2+($O13-AG$1)^2)</f>
        <v>3.1996897661693455</v>
      </c>
      <c r="T13">
        <f>SQRT(($L13-AH$1)^2+($M13-AI$1)^2+($N13-AJ$1)^2+($O13-AK$1)^2)</f>
        <v>3.0597718737511865</v>
      </c>
      <c r="U13" t="str">
        <f>IF(Q13=MIN(Q13,R13,S13,T13),"Cluster 1",IF(R13=MIN(Q13,R13,S13,T13),"Cluster 2",IF(S13=MIN(Q13,R13,S13,T13),"Cluster 3","Cluster 4")))</f>
        <v>Cluster 2</v>
      </c>
    </row>
    <row r="14" spans="1:37" x14ac:dyDescent="0.3">
      <c r="A14">
        <v>13</v>
      </c>
      <c r="B14">
        <v>53</v>
      </c>
      <c r="C14">
        <v>56868.28</v>
      </c>
      <c r="D14" t="s">
        <v>8</v>
      </c>
      <c r="E14" t="s">
        <v>12</v>
      </c>
      <c r="F14" t="s">
        <v>15</v>
      </c>
      <c r="G14">
        <f>IF(F14="Low Spender",1,IF(F14="Moderate Spender",2,3))</f>
        <v>2</v>
      </c>
      <c r="H14" t="s">
        <v>17</v>
      </c>
      <c r="I14">
        <f>IF(H14="Never Engaged",1,IF(H14="Rarely Engaged",2,3))</f>
        <v>1</v>
      </c>
      <c r="J14">
        <f ca="1">RAND()</f>
        <v>0.1170610472069521</v>
      </c>
      <c r="L14">
        <f>(B14-B$103)/B$104</f>
        <v>0.86628235031807299</v>
      </c>
      <c r="M14">
        <f>(C14-C$103)/C$104</f>
        <v>0.39026447908806017</v>
      </c>
      <c r="N14">
        <f>(G14-G$103)/G$104</f>
        <v>-0.11739130434782591</v>
      </c>
      <c r="O14">
        <f>(I14-I$103)/I$104</f>
        <v>-1.3007726429705861</v>
      </c>
      <c r="Q14">
        <f>SQRT(($L14-V$1)^2+($M14-W$1)^2+($N14-X$1)^2+($O14-Y$1)^2)</f>
        <v>3.0006492129529039</v>
      </c>
      <c r="R14">
        <f>SQRT(($L14-Z$1)^2+($M14-AA$1)^2+($N14-AB$1)^2+($O14-AC$1)^2)</f>
        <v>2.3806309237901737</v>
      </c>
      <c r="S14">
        <f>SQRT(($L14-AD$1)^2+($M14-AE$1)^2+($N14-AF$1)^2+($O14-AG$1)^2)</f>
        <v>2.5793848790531957</v>
      </c>
      <c r="T14">
        <f>SQRT(($L14-AH$1)^2+($M14-AI$1)^2+($N14-AJ$1)^2+($O14-AK$1)^2)</f>
        <v>1.7861185907012413</v>
      </c>
      <c r="U14" t="str">
        <f>IF(Q14=MIN(Q14,R14,S14,T14),"Cluster 1",IF(R14=MIN(Q14,R14,S14,T14),"Cluster 2",IF(S14=MIN(Q14,R14,S14,T14),"Cluster 3","Cluster 4")))</f>
        <v>Cluster 4</v>
      </c>
    </row>
    <row r="15" spans="1:37" x14ac:dyDescent="0.3">
      <c r="A15">
        <v>14</v>
      </c>
      <c r="B15">
        <v>57</v>
      </c>
      <c r="C15">
        <v>24735.69</v>
      </c>
      <c r="D15" t="s">
        <v>8</v>
      </c>
      <c r="E15" t="s">
        <v>11</v>
      </c>
      <c r="F15" t="s">
        <v>13</v>
      </c>
      <c r="G15">
        <f>IF(F15="Low Spender",1,IF(F15="Moderate Spender",2,3))</f>
        <v>1</v>
      </c>
      <c r="H15" t="s">
        <v>16</v>
      </c>
      <c r="I15">
        <f>IF(H15="Never Engaged",1,IF(H15="Rarely Engaged",2,3))</f>
        <v>3</v>
      </c>
      <c r="J15">
        <f ca="1">RAND()</f>
        <v>0.2116297998618395</v>
      </c>
      <c r="L15">
        <f>(B15-B$103)/B$104</f>
        <v>1.1521841160996154</v>
      </c>
      <c r="M15">
        <f>(C15-C$103)/C$104</f>
        <v>-1.7567974889183764</v>
      </c>
      <c r="N15">
        <f>(G15-G$103)/G$104</f>
        <v>-1.4217391304347826</v>
      </c>
      <c r="O15">
        <f>(I15-I$103)/I$104</f>
        <v>0.98128462539886296</v>
      </c>
      <c r="Q15">
        <f>SQRT(($L15-V$1)^2+($M15-W$1)^2+($N15-X$1)^2+($O15-Y$1)^2)</f>
        <v>4.3435064195448359</v>
      </c>
      <c r="R15">
        <f>SQRT(($L15-Z$1)^2+($M15-AA$1)^2+($N15-AB$1)^2+($O15-AC$1)^2)</f>
        <v>4.5966119683429199</v>
      </c>
      <c r="S15">
        <f>SQRT(($L15-AD$1)^2+($M15-AE$1)^2+($N15-AF$1)^2+($O15-AG$1)^2)</f>
        <v>2.0238130689280416</v>
      </c>
      <c r="T15">
        <f>SQRT(($L15-AH$1)^2+($M15-AI$1)^2+($N15-AJ$1)^2+($O15-AK$1)^2)</f>
        <v>1.9058027354398055</v>
      </c>
      <c r="U15" t="str">
        <f>IF(Q15=MIN(Q15,R15,S15,T15),"Cluster 1",IF(R15=MIN(Q15,R15,S15,T15),"Cluster 2",IF(S15=MIN(Q15,R15,S15,T15),"Cluster 3","Cluster 4")))</f>
        <v>Cluster 4</v>
      </c>
    </row>
    <row r="16" spans="1:37" x14ac:dyDescent="0.3">
      <c r="A16">
        <v>15</v>
      </c>
      <c r="B16">
        <v>41</v>
      </c>
      <c r="C16">
        <v>54902.68</v>
      </c>
      <c r="D16" t="s">
        <v>7</v>
      </c>
      <c r="E16" t="s">
        <v>12</v>
      </c>
      <c r="F16" t="s">
        <v>15</v>
      </c>
      <c r="G16">
        <f>IF(F16="Low Spender",1,IF(F16="Moderate Spender",2,3))</f>
        <v>2</v>
      </c>
      <c r="H16" t="s">
        <v>17</v>
      </c>
      <c r="I16">
        <f>IF(H16="Never Engaged",1,IF(H16="Rarely Engaged",2,3))</f>
        <v>1</v>
      </c>
      <c r="J16">
        <f ca="1">RAND()</f>
        <v>0.46022894889166865</v>
      </c>
      <c r="L16">
        <f>(B16-B$103)/B$104</f>
        <v>8.5770529734460858E-3</v>
      </c>
      <c r="M16">
        <f>(C16-C$103)/C$104</f>
        <v>0.25892539299778705</v>
      </c>
      <c r="N16">
        <f>(G16-G$103)/G$104</f>
        <v>-0.11739130434782591</v>
      </c>
      <c r="O16">
        <f>(I16-I$103)/I$104</f>
        <v>-1.3007726429705861</v>
      </c>
      <c r="Q16">
        <f>SQRT(($L16-V$1)^2+($M16-W$1)^2+($N16-X$1)^2+($O16-Y$1)^2)</f>
        <v>2.3467302174442617</v>
      </c>
      <c r="R16">
        <f>SQRT(($L16-Z$1)^2+($M16-AA$1)^2+($N16-AB$1)^2+($O16-AC$1)^2)</f>
        <v>2.1477072456376667</v>
      </c>
      <c r="S16">
        <f>SQRT(($L16-AD$1)^2+($M16-AE$1)^2+($N16-AF$1)^2+($O16-AG$1)^2)</f>
        <v>2.4343579222307792</v>
      </c>
      <c r="T16">
        <f>SQRT(($L16-AH$1)^2+($M16-AI$1)^2+($N16-AJ$1)^2+($O16-AK$1)^2)</f>
        <v>1.988572610132227</v>
      </c>
      <c r="U16" t="str">
        <f>IF(Q16=MIN(Q16,R16,S16,T16),"Cluster 1",IF(R16=MIN(Q16,R16,S16,T16),"Cluster 2",IF(S16=MIN(Q16,R16,S16,T16),"Cluster 3","Cluster 4")))</f>
        <v>Cluster 4</v>
      </c>
    </row>
    <row r="17" spans="1:21" x14ac:dyDescent="0.3">
      <c r="A17">
        <v>16</v>
      </c>
      <c r="B17">
        <v>20</v>
      </c>
      <c r="C17">
        <v>48783.22</v>
      </c>
      <c r="D17" t="s">
        <v>8</v>
      </c>
      <c r="E17" t="s">
        <v>10</v>
      </c>
      <c r="F17" t="s">
        <v>13</v>
      </c>
      <c r="G17">
        <f>IF(F17="Low Spender",1,IF(F17="Moderate Spender",2,3))</f>
        <v>1</v>
      </c>
      <c r="H17" t="s">
        <v>16</v>
      </c>
      <c r="I17">
        <f>IF(H17="Never Engaged",1,IF(H17="Rarely Engaged",2,3))</f>
        <v>3</v>
      </c>
      <c r="J17">
        <f ca="1">RAND()</f>
        <v>0.61280619829801031</v>
      </c>
      <c r="L17">
        <f>(B17-B$103)/B$104</f>
        <v>-1.492407217379651</v>
      </c>
      <c r="M17">
        <f>(C17-C$103)/C$104</f>
        <v>-0.14996974526329512</v>
      </c>
      <c r="N17">
        <f>(G17-G$103)/G$104</f>
        <v>-1.4217391304347826</v>
      </c>
      <c r="O17">
        <f>(I17-I$103)/I$104</f>
        <v>0.98128462539886296</v>
      </c>
      <c r="Q17">
        <f>SQRT(($L17-V$1)^2+($M17-W$1)^2+($N17-X$1)^2+($O17-Y$1)^2)</f>
        <v>2.8576625938122069</v>
      </c>
      <c r="R17">
        <f>SQRT(($L17-Z$1)^2+($M17-AA$1)^2+($N17-AB$1)^2+($O17-AC$1)^2)</f>
        <v>3.2561365477990711</v>
      </c>
      <c r="S17">
        <f>SQRT(($L17-AD$1)^2+($M17-AE$1)^2+($N17-AF$1)^2+($O17-AG$1)^2)</f>
        <v>2.1414352149414269</v>
      </c>
      <c r="T17">
        <f>SQRT(($L17-AH$1)^2+($M17-AI$1)^2+($N17-AJ$1)^2+($O17-AK$1)^2)</f>
        <v>3.2080851509200623</v>
      </c>
      <c r="U17" t="str">
        <f>IF(Q17=MIN(Q17,R17,S17,T17),"Cluster 1",IF(R17=MIN(Q17,R17,S17,T17),"Cluster 2",IF(S17=MIN(Q17,R17,S17,T17),"Cluster 3","Cluster 4")))</f>
        <v>Cluster 3</v>
      </c>
    </row>
    <row r="18" spans="1:21" x14ac:dyDescent="0.3">
      <c r="A18">
        <v>17</v>
      </c>
      <c r="B18">
        <v>39</v>
      </c>
      <c r="C18">
        <v>57016.92</v>
      </c>
      <c r="D18" t="s">
        <v>8</v>
      </c>
      <c r="E18" t="s">
        <v>9</v>
      </c>
      <c r="F18" t="s">
        <v>14</v>
      </c>
      <c r="G18">
        <f>IF(F18="Low Spender",1,IF(F18="Moderate Spender",2,3))</f>
        <v>3</v>
      </c>
      <c r="H18" t="s">
        <v>16</v>
      </c>
      <c r="I18">
        <f>IF(H18="Never Engaged",1,IF(H18="Rarely Engaged",2,3))</f>
        <v>3</v>
      </c>
      <c r="J18">
        <f ca="1">RAND()</f>
        <v>0.51396342984180243</v>
      </c>
      <c r="L18">
        <f>(B18-B$103)/B$104</f>
        <v>-0.13437382991732508</v>
      </c>
      <c r="M18">
        <f>(C18-C$103)/C$104</f>
        <v>0.40019642951360868</v>
      </c>
      <c r="N18">
        <f>(G18-G$103)/G$104</f>
        <v>1.1869565217391307</v>
      </c>
      <c r="O18">
        <f>(I18-I$103)/I$104</f>
        <v>0.98128462539886296</v>
      </c>
      <c r="Q18">
        <f>SQRT(($L18-V$1)^2+($M18-W$1)^2+($N18-X$1)^2+($O18-Y$1)^2)</f>
        <v>1.8564979482584105</v>
      </c>
      <c r="R18">
        <f>SQRT(($L18-Z$1)^2+($M18-AA$1)^2+($N18-AB$1)^2+($O18-AC$1)^2)</f>
        <v>3.7915128613215821</v>
      </c>
      <c r="S18">
        <f>SQRT(($L18-AD$1)^2+($M18-AE$1)^2+($N18-AF$1)^2+($O18-AG$1)^2)</f>
        <v>1.6543675078331228</v>
      </c>
      <c r="T18">
        <f>SQRT(($L18-AH$1)^2+($M18-AI$1)^2+($N18-AJ$1)^2+($O18-AK$1)^2)</f>
        <v>2.5197321011145339</v>
      </c>
      <c r="U18" t="str">
        <f>IF(Q18=MIN(Q18,R18,S18,T18),"Cluster 1",IF(R18=MIN(Q18,R18,S18,T18),"Cluster 2",IF(S18=MIN(Q18,R18,S18,T18),"Cluster 3","Cluster 4")))</f>
        <v>Cluster 3</v>
      </c>
    </row>
    <row r="19" spans="1:21" x14ac:dyDescent="0.3">
      <c r="A19">
        <v>18</v>
      </c>
      <c r="B19">
        <v>19</v>
      </c>
      <c r="C19">
        <v>61041.84</v>
      </c>
      <c r="D19" t="s">
        <v>8</v>
      </c>
      <c r="E19" t="s">
        <v>11</v>
      </c>
      <c r="F19" t="s">
        <v>14</v>
      </c>
      <c r="G19">
        <f>IF(F19="Low Spender",1,IF(F19="Moderate Spender",2,3))</f>
        <v>3</v>
      </c>
      <c r="H19" t="s">
        <v>18</v>
      </c>
      <c r="I19">
        <f>IF(H19="Never Engaged",1,IF(H19="Rarely Engaged",2,3))</f>
        <v>2</v>
      </c>
      <c r="J19">
        <f ca="1">RAND()</f>
        <v>0.14428900541300216</v>
      </c>
      <c r="L19">
        <f>(B19-B$103)/B$104</f>
        <v>-1.5638826588250365</v>
      </c>
      <c r="M19">
        <f>(C19-C$103)/C$104</f>
        <v>0.66913686214815393</v>
      </c>
      <c r="N19">
        <f>(G19-G$103)/G$104</f>
        <v>1.1869565217391307</v>
      </c>
      <c r="O19">
        <f>(I19-I$103)/I$104</f>
        <v>-0.15974400878586156</v>
      </c>
      <c r="Q19">
        <f>SQRT(($L19-V$1)^2+($M19-W$1)^2+($N19-X$1)^2+($O19-Y$1)^2)</f>
        <v>0.5869699846153853</v>
      </c>
      <c r="R19">
        <f>SQRT(($L19-Z$1)^2+($M19-AA$1)^2+($N19-AB$1)^2+($O19-AC$1)^2)</f>
        <v>3.3099608530764728</v>
      </c>
      <c r="S19">
        <f>SQRT(($L19-AD$1)^2+($M19-AE$1)^2+($N19-AF$1)^2+($O19-AG$1)^2)</f>
        <v>2.7381432895362714</v>
      </c>
      <c r="T19">
        <f>SQRT(($L19-AH$1)^2+($M19-AI$1)^2+($N19-AJ$1)^2+($O19-AK$1)^2)</f>
        <v>3.3722817817719872</v>
      </c>
      <c r="U19" t="str">
        <f>IF(Q19=MIN(Q19,R19,S19,T19),"Cluster 1",IF(R19=MIN(Q19,R19,S19,T19),"Cluster 2",IF(S19=MIN(Q19,R19,S19,T19),"Cluster 3","Cluster 4")))</f>
        <v>Cluster 1</v>
      </c>
    </row>
    <row r="20" spans="1:21" x14ac:dyDescent="0.3">
      <c r="A20">
        <v>19</v>
      </c>
      <c r="B20">
        <v>41</v>
      </c>
      <c r="C20">
        <v>38304.47</v>
      </c>
      <c r="D20" t="s">
        <v>8</v>
      </c>
      <c r="E20" t="s">
        <v>11</v>
      </c>
      <c r="F20" t="s">
        <v>14</v>
      </c>
      <c r="G20">
        <f>IF(F20="Low Spender",1,IF(F20="Moderate Spender",2,3))</f>
        <v>3</v>
      </c>
      <c r="H20" t="s">
        <v>17</v>
      </c>
      <c r="I20">
        <f>IF(H20="Never Engaged",1,IF(H20="Rarely Engaged",2,3))</f>
        <v>1</v>
      </c>
      <c r="J20">
        <f ca="1">RAND()</f>
        <v>0.22481528083184377</v>
      </c>
      <c r="L20">
        <f>(B20-B$103)/B$104</f>
        <v>8.5770529734460858E-3</v>
      </c>
      <c r="M20">
        <f>(C20-C$103)/C$104</f>
        <v>-0.85014752729852627</v>
      </c>
      <c r="N20">
        <f>(G20-G$103)/G$104</f>
        <v>1.1869565217391307</v>
      </c>
      <c r="O20">
        <f>(I20-I$103)/I$104</f>
        <v>-1.3007726429705861</v>
      </c>
      <c r="Q20">
        <f>SQRT(($L20-V$1)^2+($M20-W$1)^2+($N20-X$1)^2+($O20-Y$1)^2)</f>
        <v>2.1549445558331093</v>
      </c>
      <c r="R20">
        <f>SQRT(($L20-Z$1)^2+($M20-AA$1)^2+($N20-AB$1)^2+($O20-AC$1)^2)</f>
        <v>3.8222895533991923</v>
      </c>
      <c r="S20">
        <f>SQRT(($L20-AD$1)^2+($M20-AE$1)^2+($N20-AF$1)^2+($O20-AG$1)^2)</f>
        <v>2.6465912723681821</v>
      </c>
      <c r="T20">
        <f>SQRT(($L20-AH$1)^2+($M20-AI$1)^2+($N20-AJ$1)^2+($O20-AK$1)^2)</f>
        <v>2.0411764528200851</v>
      </c>
      <c r="U20" t="str">
        <f>IF(Q20=MIN(Q20,R20,S20,T20),"Cluster 1",IF(R20=MIN(Q20,R20,S20,T20),"Cluster 2",IF(S20=MIN(Q20,R20,S20,T20),"Cluster 3","Cluster 4")))</f>
        <v>Cluster 4</v>
      </c>
    </row>
    <row r="21" spans="1:21" x14ac:dyDescent="0.3">
      <c r="A21">
        <v>20</v>
      </c>
      <c r="B21">
        <v>61</v>
      </c>
      <c r="C21">
        <v>37341.550000000003</v>
      </c>
      <c r="D21" t="s">
        <v>8</v>
      </c>
      <c r="E21" t="s">
        <v>9</v>
      </c>
      <c r="F21" t="s">
        <v>14</v>
      </c>
      <c r="G21">
        <f>IF(F21="Low Spender",1,IF(F21="Moderate Spender",2,3))</f>
        <v>3</v>
      </c>
      <c r="H21" t="s">
        <v>16</v>
      </c>
      <c r="I21">
        <f>IF(H21="Never Engaged",1,IF(H21="Rarely Engaged",2,3))</f>
        <v>3</v>
      </c>
      <c r="J21">
        <f ca="1">RAND()</f>
        <v>0.88388058695182503</v>
      </c>
      <c r="L21">
        <f>(B21-B$103)/B$104</f>
        <v>1.4380858818811577</v>
      </c>
      <c r="M21">
        <f>(C21-C$103)/C$104</f>
        <v>-0.91448871206554172</v>
      </c>
      <c r="N21">
        <f>(G21-G$103)/G$104</f>
        <v>1.1869565217391307</v>
      </c>
      <c r="O21">
        <f>(I21-I$103)/I$104</f>
        <v>0.98128462539886296</v>
      </c>
      <c r="Q21">
        <f>SQRT(($L21-V$1)^2+($M21-W$1)^2+($N21-X$1)^2+($O21-Y$1)^2)</f>
        <v>3.3626007535383517</v>
      </c>
      <c r="R21">
        <f>SQRT(($L21-Z$1)^2+($M21-AA$1)^2+($N21-AB$1)^2+($O21-AC$1)^2)</f>
        <v>4.8421741753144714</v>
      </c>
      <c r="S21">
        <f>SQRT(($L21-AD$1)^2+($M21-AE$1)^2+($N21-AF$1)^2+($O21-AG$1)^2)</f>
        <v>1.8630121318463138</v>
      </c>
      <c r="T21">
        <f>SQRT(($L21-AH$1)^2+($M21-AI$1)^2+($N21-AJ$1)^2+($O21-AK$1)^2)</f>
        <v>1.7702402221578601</v>
      </c>
      <c r="U21" t="str">
        <f>IF(Q21=MIN(Q21,R21,S21,T21),"Cluster 1",IF(R21=MIN(Q21,R21,S21,T21),"Cluster 2",IF(S21=MIN(Q21,R21,S21,T21),"Cluster 3","Cluster 4")))</f>
        <v>Cluster 4</v>
      </c>
    </row>
    <row r="22" spans="1:21" x14ac:dyDescent="0.3">
      <c r="A22">
        <v>21</v>
      </c>
      <c r="B22">
        <v>47</v>
      </c>
      <c r="C22">
        <v>47741.99</v>
      </c>
      <c r="D22" t="s">
        <v>8</v>
      </c>
      <c r="E22" t="s">
        <v>11</v>
      </c>
      <c r="F22" t="s">
        <v>13</v>
      </c>
      <c r="G22">
        <f>IF(F22="Low Spender",1,IF(F22="Moderate Spender",2,3))</f>
        <v>1</v>
      </c>
      <c r="H22" t="s">
        <v>16</v>
      </c>
      <c r="I22">
        <f>IF(H22="Never Engaged",1,IF(H22="Rarely Engaged",2,3))</f>
        <v>3</v>
      </c>
      <c r="J22">
        <f ca="1">RAND()</f>
        <v>0.80226468344050939</v>
      </c>
      <c r="L22">
        <f>(B22-B$103)/B$104</f>
        <v>0.43742970164575956</v>
      </c>
      <c r="M22">
        <f>(C22-C$103)/C$104</f>
        <v>-0.21954351236228556</v>
      </c>
      <c r="N22">
        <f>(G22-G$103)/G$104</f>
        <v>-1.4217391304347826</v>
      </c>
      <c r="O22">
        <f>(I22-I$103)/I$104</f>
        <v>0.98128462539886296</v>
      </c>
      <c r="Q22">
        <f>SQRT(($L22-V$1)^2+($M22-W$1)^2+($N22-X$1)^2+($O22-Y$1)^2)</f>
        <v>3.4933536427399319</v>
      </c>
      <c r="R22">
        <f>SQRT(($L22-Z$1)^2+($M22-AA$1)^2+($N22-AB$1)^2+($O22-AC$1)^2)</f>
        <v>3.2373067436639613</v>
      </c>
      <c r="S22">
        <f>SQRT(($L22-AD$1)^2+($M22-AE$1)^2+($N22-AF$1)^2+($O22-AG$1)^2)</f>
        <v>1.3821926311698458</v>
      </c>
      <c r="T22">
        <f>SQRT(($L22-AH$1)^2+($M22-AI$1)^2+($N22-AJ$1)^2+($O22-AK$1)^2)</f>
        <v>1.9939505995943652</v>
      </c>
      <c r="U22" t="str">
        <f>IF(Q22=MIN(Q22,R22,S22,T22),"Cluster 1",IF(R22=MIN(Q22,R22,S22,T22),"Cluster 2",IF(S22=MIN(Q22,R22,S22,T22),"Cluster 3","Cluster 4")))</f>
        <v>Cluster 3</v>
      </c>
    </row>
    <row r="23" spans="1:21" x14ac:dyDescent="0.3">
      <c r="A23">
        <v>22</v>
      </c>
      <c r="B23">
        <v>55</v>
      </c>
      <c r="C23">
        <v>35516.629999999997</v>
      </c>
      <c r="D23" t="s">
        <v>7</v>
      </c>
      <c r="E23" t="s">
        <v>11</v>
      </c>
      <c r="F23" t="s">
        <v>15</v>
      </c>
      <c r="G23">
        <f>IF(F23="Low Spender",1,IF(F23="Moderate Spender",2,3))</f>
        <v>2</v>
      </c>
      <c r="H23" t="s">
        <v>17</v>
      </c>
      <c r="I23">
        <f>IF(H23="Never Engaged",1,IF(H23="Rarely Engaged",2,3))</f>
        <v>1</v>
      </c>
      <c r="J23">
        <f ca="1">RAND()</f>
        <v>0.31688238214365361</v>
      </c>
      <c r="L23">
        <f>(B23-B$103)/B$104</f>
        <v>1.0092332332088441</v>
      </c>
      <c r="M23">
        <f>(C23-C$103)/C$104</f>
        <v>-1.0364277255921301</v>
      </c>
      <c r="N23">
        <f>(G23-G$103)/G$104</f>
        <v>-0.11739130434782591</v>
      </c>
      <c r="O23">
        <f>(I23-I$103)/I$104</f>
        <v>-1.3007726429705861</v>
      </c>
      <c r="Q23">
        <f>SQRT(($L23-V$1)^2+($M23-W$1)^2+($N23-X$1)^2+($O23-Y$1)^2)</f>
        <v>3.2977945471822059</v>
      </c>
      <c r="R23">
        <f>SQRT(($L23-Z$1)^2+($M23-AA$1)^2+($N23-AB$1)^2+($O23-AC$1)^2)</f>
        <v>3.5254338882610963</v>
      </c>
      <c r="S23">
        <f>SQRT(($L23-AD$1)^2+($M23-AE$1)^2+($N23-AF$1)^2+($O23-AG$1)^2)</f>
        <v>2.4809290360547811</v>
      </c>
      <c r="T23">
        <f>SQRT(($L23-AH$1)^2+($M23-AI$1)^2+($N23-AJ$1)^2+($O23-AK$1)^2)</f>
        <v>1.1453683943766568</v>
      </c>
      <c r="U23" t="str">
        <f>IF(Q23=MIN(Q23,R23,S23,T23),"Cluster 1",IF(R23=MIN(Q23,R23,S23,T23),"Cluster 2",IF(S23=MIN(Q23,R23,S23,T23),"Cluster 3","Cluster 4")))</f>
        <v>Cluster 4</v>
      </c>
    </row>
    <row r="24" spans="1:21" x14ac:dyDescent="0.3">
      <c r="A24">
        <v>23</v>
      </c>
      <c r="B24">
        <v>19</v>
      </c>
      <c r="C24">
        <v>52257.34</v>
      </c>
      <c r="D24" t="s">
        <v>7</v>
      </c>
      <c r="E24" t="s">
        <v>12</v>
      </c>
      <c r="F24" t="s">
        <v>14</v>
      </c>
      <c r="G24">
        <f>IF(F24="Low Spender",1,IF(F24="Moderate Spender",2,3))</f>
        <v>3</v>
      </c>
      <c r="H24" t="s">
        <v>18</v>
      </c>
      <c r="I24">
        <f>IF(H24="Never Engaged",1,IF(H24="Rarely Engaged",2,3))</f>
        <v>2</v>
      </c>
      <c r="J24">
        <f ca="1">RAND()</f>
        <v>0.21330600032765534</v>
      </c>
      <c r="L24">
        <f>(B24-B$103)/B$104</f>
        <v>-1.5638826588250365</v>
      </c>
      <c r="M24">
        <f>(C24-C$103)/C$104</f>
        <v>8.2166877532766816E-2</v>
      </c>
      <c r="N24">
        <f>(G24-G$103)/G$104</f>
        <v>1.1869565217391307</v>
      </c>
      <c r="O24">
        <f>(I24-I$103)/I$104</f>
        <v>-0.15974400878586156</v>
      </c>
      <c r="Q24">
        <f>SQRT(($L24-V$1)^2+($M24-W$1)^2+($N24-X$1)^2+($O24-Y$1)^2)</f>
        <v>1.8179902028236938E-15</v>
      </c>
      <c r="R24">
        <f>SQRT(($L24-Z$1)^2+($M24-AA$1)^2+($N24-AB$1)^2+($O24-AC$1)^2)</f>
        <v>3.5717722919911878</v>
      </c>
      <c r="S24">
        <f>SQRT(($L24-AD$1)^2+($M24-AE$1)^2+($N24-AF$1)^2+($O24-AG$1)^2)</f>
        <v>2.5258067789783203</v>
      </c>
      <c r="T24">
        <f>SQRT(($L24-AH$1)^2+($M24-AI$1)^2+($N24-AJ$1)^2+($O24-AK$1)^2)</f>
        <v>3.1298620527960286</v>
      </c>
      <c r="U24" t="str">
        <f>IF(Q24=MIN(Q24,R24,S24,T24),"Cluster 1",IF(R24=MIN(Q24,R24,S24,T24),"Cluster 2",IF(S24=MIN(Q24,R24,S24,T24),"Cluster 3","Cluster 4")))</f>
        <v>Cluster 1</v>
      </c>
    </row>
    <row r="25" spans="1:21" x14ac:dyDescent="0.3">
      <c r="A25">
        <v>24</v>
      </c>
      <c r="B25">
        <v>38</v>
      </c>
      <c r="C25">
        <v>48298.68</v>
      </c>
      <c r="D25" t="s">
        <v>8</v>
      </c>
      <c r="E25" t="s">
        <v>11</v>
      </c>
      <c r="F25" t="s">
        <v>15</v>
      </c>
      <c r="G25">
        <f>IF(F25="Low Spender",1,IF(F25="Moderate Spender",2,3))</f>
        <v>2</v>
      </c>
      <c r="H25" t="s">
        <v>18</v>
      </c>
      <c r="I25">
        <f>IF(H25="Never Engaged",1,IF(H25="Rarely Engaged",2,3))</f>
        <v>2</v>
      </c>
      <c r="J25">
        <f ca="1">RAND()</f>
        <v>0.26865412055054927</v>
      </c>
      <c r="L25">
        <f>(B25-B$103)/B$104</f>
        <v>-0.20584927136271064</v>
      </c>
      <c r="M25">
        <f>(C25-C$103)/C$104</f>
        <v>-0.18234613963355412</v>
      </c>
      <c r="N25">
        <f>(G25-G$103)/G$104</f>
        <v>-0.11739130434782591</v>
      </c>
      <c r="O25">
        <f>(I25-I$103)/I$104</f>
        <v>-0.15974400878586156</v>
      </c>
      <c r="Q25">
        <f>SQRT(($L25-V$1)^2+($M25-W$1)^2+($N25-X$1)^2+($O25-Y$1)^2)</f>
        <v>1.9014586687936712</v>
      </c>
      <c r="R25">
        <f>SQRT(($L25-Z$1)^2+($M25-AA$1)^2+($N25-AB$1)^2+($O25-AC$1)^2)</f>
        <v>2.7255982053954781</v>
      </c>
      <c r="S25">
        <f>SQRT(($L25-AD$1)^2+($M25-AE$1)^2+($N25-AF$1)^2+($O25-AG$1)^2)</f>
        <v>1.2589658396957089</v>
      </c>
      <c r="T25">
        <f>SQRT(($L25-AH$1)^2+($M25-AI$1)^2+($N25-AJ$1)^2+($O25-AK$1)^2)</f>
        <v>1.5069793928842283</v>
      </c>
      <c r="U25" t="str">
        <f>IF(Q25=MIN(Q25,R25,S25,T25),"Cluster 1",IF(R25=MIN(Q25,R25,S25,T25),"Cluster 2",IF(S25=MIN(Q25,R25,S25,T25),"Cluster 3","Cluster 4")))</f>
        <v>Cluster 3</v>
      </c>
    </row>
    <row r="26" spans="1:21" x14ac:dyDescent="0.3">
      <c r="A26">
        <v>25</v>
      </c>
      <c r="B26">
        <v>50</v>
      </c>
      <c r="C26">
        <v>89502.92</v>
      </c>
      <c r="D26" t="s">
        <v>7</v>
      </c>
      <c r="E26" t="s">
        <v>10</v>
      </c>
      <c r="F26" t="s">
        <v>13</v>
      </c>
      <c r="G26">
        <f>IF(F26="Low Spender",1,IF(F26="Moderate Spender",2,3))</f>
        <v>1</v>
      </c>
      <c r="H26" t="s">
        <v>16</v>
      </c>
      <c r="I26">
        <f>IF(H26="Never Engaged",1,IF(H26="Rarely Engaged",2,3))</f>
        <v>3</v>
      </c>
      <c r="J26">
        <f ca="1">RAND()</f>
        <v>0.61816345879983459</v>
      </c>
      <c r="L26">
        <f>(B26-B$103)/B$104</f>
        <v>0.65185602598191628</v>
      </c>
      <c r="M26">
        <f>(C26-C$103)/C$104</f>
        <v>2.5708728391232012</v>
      </c>
      <c r="N26">
        <f>(G26-G$103)/G$104</f>
        <v>-1.4217391304347826</v>
      </c>
      <c r="O26">
        <f>(I26-I$103)/I$104</f>
        <v>0.98128462539886296</v>
      </c>
      <c r="Q26">
        <f>SQRT(($L26-V$1)^2+($M26-W$1)^2+($N26-X$1)^2+($O26-Y$1)^2)</f>
        <v>4.3829664192537843</v>
      </c>
      <c r="R26">
        <f>SQRT(($L26-Z$1)^2+($M26-AA$1)^2+($N26-AB$1)^2+($O26-AC$1)^2)</f>
        <v>2.6064266513216197</v>
      </c>
      <c r="S26">
        <f>SQRT(($L26-AD$1)^2+($M26-AE$1)^2+($N26-AF$1)^2+($O26-AG$1)^2)</f>
        <v>3.4434562423337551</v>
      </c>
      <c r="T26">
        <f>SQRT(($L26-AH$1)^2+($M26-AI$1)^2+($N26-AJ$1)^2+($O26-AK$1)^2)</f>
        <v>3.9628350252090661</v>
      </c>
      <c r="U26" t="str">
        <f>IF(Q26=MIN(Q26,R26,S26,T26),"Cluster 1",IF(R26=MIN(Q26,R26,S26,T26),"Cluster 2",IF(S26=MIN(Q26,R26,S26,T26),"Cluster 3","Cluster 4")))</f>
        <v>Cluster 2</v>
      </c>
    </row>
    <row r="27" spans="1:21" x14ac:dyDescent="0.3">
      <c r="A27">
        <v>26</v>
      </c>
      <c r="B27">
        <v>29</v>
      </c>
      <c r="C27">
        <v>34623.64</v>
      </c>
      <c r="D27" t="s">
        <v>7</v>
      </c>
      <c r="E27" t="s">
        <v>10</v>
      </c>
      <c r="F27" t="s">
        <v>13</v>
      </c>
      <c r="G27">
        <f>IF(F27="Low Spender",1,IF(F27="Moderate Spender",2,3))</f>
        <v>1</v>
      </c>
      <c r="H27" t="s">
        <v>17</v>
      </c>
      <c r="I27">
        <f>IF(H27="Never Engaged",1,IF(H27="Rarely Engaged",2,3))</f>
        <v>1</v>
      </c>
      <c r="J27">
        <f ca="1">RAND()</f>
        <v>0.70204124004170154</v>
      </c>
      <c r="L27">
        <f>(B27-B$103)/B$104</f>
        <v>-0.84912824437118084</v>
      </c>
      <c r="M27">
        <f>(C27-C$103)/C$104</f>
        <v>-1.0960962697963186</v>
      </c>
      <c r="N27">
        <f>(G27-G$103)/G$104</f>
        <v>-1.4217391304347826</v>
      </c>
      <c r="O27">
        <f>(I27-I$103)/I$104</f>
        <v>-1.3007726429705861</v>
      </c>
      <c r="Q27">
        <f>SQRT(($L27-V$1)^2+($M27-W$1)^2+($N27-X$1)^2+($O27-Y$1)^2)</f>
        <v>3.1632921564464538</v>
      </c>
      <c r="R27">
        <f>SQRT(($L27-Z$1)^2+($M27-AA$1)^2+($N27-AB$1)^2+($O27-AC$1)^2)</f>
        <v>3.0369404965323277</v>
      </c>
      <c r="S27">
        <f>SQRT(($L27-AD$1)^2+($M27-AE$1)^2+($N27-AF$1)^2+($O27-AG$1)^2)</f>
        <v>2.8601463982909507</v>
      </c>
      <c r="T27">
        <f>SQRT(($L27-AH$1)^2+($M27-AI$1)^2+($N27-AJ$1)^2+($O27-AK$1)^2)</f>
        <v>2.596958572400486</v>
      </c>
      <c r="U27" t="str">
        <f>IF(Q27=MIN(Q27,R27,S27,T27),"Cluster 1",IF(R27=MIN(Q27,R27,S27,T27),"Cluster 2",IF(S27=MIN(Q27,R27,S27,T27),"Cluster 3","Cluster 4")))</f>
        <v>Cluster 4</v>
      </c>
    </row>
    <row r="28" spans="1:21" x14ac:dyDescent="0.3">
      <c r="A28">
        <v>27</v>
      </c>
      <c r="B28">
        <v>39</v>
      </c>
      <c r="C28">
        <v>38269.279999999999</v>
      </c>
      <c r="D28" t="s">
        <v>7</v>
      </c>
      <c r="E28" t="s">
        <v>9</v>
      </c>
      <c r="F28" t="s">
        <v>13</v>
      </c>
      <c r="G28">
        <f>IF(F28="Low Spender",1,IF(F28="Moderate Spender",2,3))</f>
        <v>1</v>
      </c>
      <c r="H28" t="s">
        <v>18</v>
      </c>
      <c r="I28">
        <f>IF(H28="Never Engaged",1,IF(H28="Rarely Engaged",2,3))</f>
        <v>2</v>
      </c>
      <c r="J28">
        <f ca="1">RAND()</f>
        <v>5.1741261318694165E-2</v>
      </c>
      <c r="L28">
        <f>(B28-B$103)/B$104</f>
        <v>-0.13437382991732508</v>
      </c>
      <c r="M28">
        <f>(C28-C$103)/C$104</f>
        <v>-0.8524988818159851</v>
      </c>
      <c r="N28">
        <f>(G28-G$103)/G$104</f>
        <v>-1.4217391304347826</v>
      </c>
      <c r="O28">
        <f>(I28-I$103)/I$104</f>
        <v>-0.15974400878586156</v>
      </c>
      <c r="Q28">
        <f>SQRT(($L28-V$1)^2+($M28-W$1)^2+($N28-X$1)^2+($O28-Y$1)^2)</f>
        <v>3.1180744986762514</v>
      </c>
      <c r="R28">
        <f>SQRT(($L28-Z$1)^2+($M28-AA$1)^2+($N28-AB$1)^2+($O28-AC$1)^2)</f>
        <v>3.0028925441437724</v>
      </c>
      <c r="S28">
        <f>SQRT(($L28-AD$1)^2+($M28-AE$1)^2+($N28-AF$1)^2+($O28-AG$1)^2)</f>
        <v>1.7779774382259914</v>
      </c>
      <c r="T28">
        <f>SQRT(($L28-AH$1)^2+($M28-AI$1)^2+($N28-AJ$1)^2+($O28-AK$1)^2)</f>
        <v>1.7863006551479905</v>
      </c>
      <c r="U28" t="str">
        <f>IF(Q28=MIN(Q28,R28,S28,T28),"Cluster 1",IF(R28=MIN(Q28,R28,S28,T28),"Cluster 2",IF(S28=MIN(Q28,R28,S28,T28),"Cluster 3","Cluster 4")))</f>
        <v>Cluster 3</v>
      </c>
    </row>
    <row r="29" spans="1:21" x14ac:dyDescent="0.3">
      <c r="A29">
        <v>28</v>
      </c>
      <c r="B29">
        <v>61</v>
      </c>
      <c r="C29">
        <v>56359.15</v>
      </c>
      <c r="D29" t="s">
        <v>7</v>
      </c>
      <c r="E29" t="s">
        <v>11</v>
      </c>
      <c r="F29" t="s">
        <v>14</v>
      </c>
      <c r="G29">
        <f>IF(F29="Low Spender",1,IF(F29="Moderate Spender",2,3))</f>
        <v>3</v>
      </c>
      <c r="H29" t="s">
        <v>17</v>
      </c>
      <c r="I29">
        <f>IF(H29="Never Engaged",1,IF(H29="Rarely Engaged",2,3))</f>
        <v>1</v>
      </c>
      <c r="J29">
        <f ca="1">RAND()</f>
        <v>7.512260972368634E-2</v>
      </c>
      <c r="L29">
        <f>(B29-B$103)/B$104</f>
        <v>1.4380858818811577</v>
      </c>
      <c r="M29">
        <f>(C29-C$103)/C$104</f>
        <v>0.35624500976513562</v>
      </c>
      <c r="N29">
        <f>(G29-G$103)/G$104</f>
        <v>1.1869565217391307</v>
      </c>
      <c r="O29">
        <f>(I29-I$103)/I$104</f>
        <v>-1.3007726429705861</v>
      </c>
      <c r="Q29">
        <f>SQRT(($L29-V$1)^2+($M29-W$1)^2+($N29-X$1)^2+($O29-Y$1)^2)</f>
        <v>3.2231785997656286</v>
      </c>
      <c r="R29">
        <f>SQRT(($L29-Z$1)^2+($M29-AA$1)^2+($N29-AB$1)^2+($O29-AC$1)^2)</f>
        <v>3.5600893165860117</v>
      </c>
      <c r="S29">
        <f>SQRT(($L29-AD$1)^2+($M29-AE$1)^2+($N29-AF$1)^2+($O29-AG$1)^2)</f>
        <v>3.0715287911477396</v>
      </c>
      <c r="T29">
        <f>SQRT(($L29-AH$1)^2+($M29-AI$1)^2+($N29-AJ$1)^2+($O29-AK$1)^2)</f>
        <v>2.2095451972230573</v>
      </c>
      <c r="U29" t="str">
        <f>IF(Q29=MIN(Q29,R29,S29,T29),"Cluster 1",IF(R29=MIN(Q29,R29,S29,T29),"Cluster 2",IF(S29=MIN(Q29,R29,S29,T29),"Cluster 3","Cluster 4")))</f>
        <v>Cluster 4</v>
      </c>
    </row>
    <row r="30" spans="1:21" x14ac:dyDescent="0.3">
      <c r="A30">
        <v>29</v>
      </c>
      <c r="B30">
        <v>42</v>
      </c>
      <c r="C30">
        <v>63090.58</v>
      </c>
      <c r="D30" t="s">
        <v>8</v>
      </c>
      <c r="E30" t="s">
        <v>9</v>
      </c>
      <c r="F30" t="s">
        <v>15</v>
      </c>
      <c r="G30">
        <f>IF(F30="Low Spender",1,IF(F30="Moderate Spender",2,3))</f>
        <v>2</v>
      </c>
      <c r="H30" t="s">
        <v>17</v>
      </c>
      <c r="I30">
        <f>IF(H30="Never Engaged",1,IF(H30="Rarely Engaged",2,3))</f>
        <v>1</v>
      </c>
      <c r="J30">
        <f ca="1">RAND()</f>
        <v>0.42057983748021399</v>
      </c>
      <c r="L30">
        <f>(B30-B$103)/B$104</f>
        <v>8.0052494418831666E-2</v>
      </c>
      <c r="M30">
        <f>(C30-C$103)/C$104</f>
        <v>0.80603126550417092</v>
      </c>
      <c r="N30">
        <f>(G30-G$103)/G$104</f>
        <v>-0.11739130434782591</v>
      </c>
      <c r="O30">
        <f>(I30-I$103)/I$104</f>
        <v>-1.3007726429705861</v>
      </c>
      <c r="Q30">
        <f>SQRT(($L30-V$1)^2+($M30-W$1)^2+($N30-X$1)^2+($O30-Y$1)^2)</f>
        <v>2.4959511284661366</v>
      </c>
      <c r="R30">
        <f>SQRT(($L30-Z$1)^2+($M30-AA$1)^2+($N30-AB$1)^2+($O30-AC$1)^2)</f>
        <v>1.7808168424870239</v>
      </c>
      <c r="S30">
        <f>SQRT(($L30-AD$1)^2+($M30-AE$1)^2+($N30-AF$1)^2+($O30-AG$1)^2)</f>
        <v>2.6691181657783565</v>
      </c>
      <c r="T30">
        <f>SQRT(($L30-AH$1)^2+($M30-AI$1)^2+($N30-AJ$1)^2+($O30-AK$1)^2)</f>
        <v>2.333895006385565</v>
      </c>
      <c r="U30" t="str">
        <f>IF(Q30=MIN(Q30,R30,S30,T30),"Cluster 1",IF(R30=MIN(Q30,R30,S30,T30),"Cluster 2",IF(S30=MIN(Q30,R30,S30,T30),"Cluster 3","Cluster 4")))</f>
        <v>Cluster 2</v>
      </c>
    </row>
    <row r="31" spans="1:21" x14ac:dyDescent="0.3">
      <c r="A31">
        <v>30</v>
      </c>
      <c r="B31">
        <v>44</v>
      </c>
      <c r="C31">
        <v>84308.39</v>
      </c>
      <c r="D31" t="s">
        <v>7</v>
      </c>
      <c r="E31" t="s">
        <v>10</v>
      </c>
      <c r="F31" t="s">
        <v>15</v>
      </c>
      <c r="G31">
        <f>IF(F31="Low Spender",1,IF(F31="Moderate Spender",2,3))</f>
        <v>2</v>
      </c>
      <c r="H31" t="s">
        <v>16</v>
      </c>
      <c r="I31">
        <f>IF(H31="Never Engaged",1,IF(H31="Rarely Engaged",2,3))</f>
        <v>3</v>
      </c>
      <c r="J31">
        <f ca="1">RAND()</f>
        <v>0.82154795691946703</v>
      </c>
      <c r="L31">
        <f>(B31-B$103)/B$104</f>
        <v>0.22300337730960282</v>
      </c>
      <c r="M31">
        <f>(C31-C$103)/C$104</f>
        <v>2.2237804383964477</v>
      </c>
      <c r="N31">
        <f>(G31-G$103)/G$104</f>
        <v>-0.11739130434782591</v>
      </c>
      <c r="O31">
        <f>(I31-I$103)/I$104</f>
        <v>0.98128462539886296</v>
      </c>
      <c r="Q31">
        <f>SQRT(($L31-V$1)^2+($M31-W$1)^2+($N31-X$1)^2+($O31-Y$1)^2)</f>
        <v>3.2837082613495672</v>
      </c>
      <c r="R31">
        <f>SQRT(($L31-Z$1)^2+($M31-AA$1)^2+($N31-AB$1)^2+($O31-AC$1)^2)</f>
        <v>2.7241725601879403</v>
      </c>
      <c r="S31">
        <f>SQRT(($L31-AD$1)^2+($M31-AE$1)^2+($N31-AF$1)^2+($O31-AG$1)^2)</f>
        <v>2.8011581151861105</v>
      </c>
      <c r="T31">
        <f>SQRT(($L31-AH$1)^2+($M31-AI$1)^2+($N31-AJ$1)^2+($O31-AK$1)^2)</f>
        <v>3.4955664600938881</v>
      </c>
      <c r="U31" t="str">
        <f>IF(Q31=MIN(Q31,R31,S31,T31),"Cluster 1",IF(R31=MIN(Q31,R31,S31,T31),"Cluster 2",IF(S31=MIN(Q31,R31,S31,T31),"Cluster 3","Cluster 4")))</f>
        <v>Cluster 2</v>
      </c>
    </row>
    <row r="32" spans="1:21" x14ac:dyDescent="0.3">
      <c r="A32">
        <v>31</v>
      </c>
      <c r="B32">
        <v>59</v>
      </c>
      <c r="C32">
        <v>74343.81</v>
      </c>
      <c r="D32" t="s">
        <v>7</v>
      </c>
      <c r="E32" t="s">
        <v>11</v>
      </c>
      <c r="F32" t="s">
        <v>15</v>
      </c>
      <c r="G32">
        <f>IF(F32="Low Spender",1,IF(F32="Moderate Spender",2,3))</f>
        <v>2</v>
      </c>
      <c r="H32" t="s">
        <v>18</v>
      </c>
      <c r="I32">
        <f>IF(H32="Never Engaged",1,IF(H32="Rarely Engaged",2,3))</f>
        <v>2</v>
      </c>
      <c r="J32">
        <f ca="1">RAND()</f>
        <v>0.57556226430250201</v>
      </c>
      <c r="L32">
        <f>(B32-B$103)/B$104</f>
        <v>1.2951349989903864</v>
      </c>
      <c r="M32">
        <f>(C32-C$103)/C$104</f>
        <v>1.5579588925715522</v>
      </c>
      <c r="N32">
        <f>(G32-G$103)/G$104</f>
        <v>-0.11739130434782591</v>
      </c>
      <c r="O32">
        <f>(I32-I$103)/I$104</f>
        <v>-0.15974400878586156</v>
      </c>
      <c r="Q32">
        <f>SQRT(($L32-V$1)^2+($M32-W$1)^2+($N32-X$1)^2+($O32-Y$1)^2)</f>
        <v>3.4717815730213202</v>
      </c>
      <c r="R32">
        <f>SQRT(($L32-Z$1)^2+($M32-AA$1)^2+($N32-AB$1)^2+($O32-AC$1)^2)</f>
        <v>2.4637626539549267</v>
      </c>
      <c r="S32">
        <f>SQRT(($L32-AD$1)^2+($M32-AE$1)^2+($N32-AF$1)^2+($O32-AG$1)^2)</f>
        <v>2.6768547783630274</v>
      </c>
      <c r="T32">
        <f>SQRT(($L32-AH$1)^2+($M32-AI$1)^2+($N32-AJ$1)^2+($O32-AK$1)^2)</f>
        <v>2.5340942630157257</v>
      </c>
      <c r="U32" t="str">
        <f>IF(Q32=MIN(Q32,R32,S32,T32),"Cluster 1",IF(R32=MIN(Q32,R32,S32,T32),"Cluster 2",IF(S32=MIN(Q32,R32,S32,T32),"Cluster 3","Cluster 4")))</f>
        <v>Cluster 2</v>
      </c>
    </row>
    <row r="33" spans="1:21" x14ac:dyDescent="0.3">
      <c r="A33">
        <v>32</v>
      </c>
      <c r="B33">
        <v>45</v>
      </c>
      <c r="C33">
        <v>62356</v>
      </c>
      <c r="D33" t="s">
        <v>8</v>
      </c>
      <c r="E33" t="s">
        <v>11</v>
      </c>
      <c r="F33" t="s">
        <v>13</v>
      </c>
      <c r="G33">
        <f>IF(F33="Low Spender",1,IF(F33="Moderate Spender",2,3))</f>
        <v>1</v>
      </c>
      <c r="H33" t="s">
        <v>16</v>
      </c>
      <c r="I33">
        <f>IF(H33="Never Engaged",1,IF(H33="Rarely Engaged",2,3))</f>
        <v>3</v>
      </c>
      <c r="J33">
        <f ca="1">RAND()</f>
        <v>0.22145798300177455</v>
      </c>
      <c r="L33">
        <f>(B33-B$103)/B$104</f>
        <v>0.29447881875498838</v>
      </c>
      <c r="M33">
        <f>(C33-C$103)/C$104</f>
        <v>0.75694749166402386</v>
      </c>
      <c r="N33">
        <f>(G33-G$103)/G$104</f>
        <v>-1.4217391304347826</v>
      </c>
      <c r="O33">
        <f>(I33-I$103)/I$104</f>
        <v>0.98128462539886296</v>
      </c>
      <c r="Q33">
        <f>SQRT(($L33-V$1)^2+($M33-W$1)^2+($N33-X$1)^2+($O33-Y$1)^2)</f>
        <v>3.4664211527541346</v>
      </c>
      <c r="R33">
        <f>SQRT(($L33-Z$1)^2+($M33-AA$1)^2+($N33-AB$1)^2+($O33-AC$1)^2)</f>
        <v>2.6550216586953703</v>
      </c>
      <c r="S33">
        <f>SQRT(($L33-AD$1)^2+($M33-AE$1)^2+($N33-AF$1)^2+($O33-AG$1)^2)</f>
        <v>1.8707615458029043</v>
      </c>
      <c r="T33">
        <f>SQRT(($L33-AH$1)^2+($M33-AI$1)^2+($N33-AJ$1)^2+($O33-AK$1)^2)</f>
        <v>2.5677975412455245</v>
      </c>
      <c r="U33" t="str">
        <f>IF(Q33=MIN(Q33,R33,S33,T33),"Cluster 1",IF(R33=MIN(Q33,R33,S33,T33),"Cluster 2",IF(S33=MIN(Q33,R33,S33,T33),"Cluster 3","Cluster 4")))</f>
        <v>Cluster 3</v>
      </c>
    </row>
    <row r="34" spans="1:21" x14ac:dyDescent="0.3">
      <c r="A34">
        <v>33</v>
      </c>
      <c r="B34">
        <v>33</v>
      </c>
      <c r="C34">
        <v>54395.89</v>
      </c>
      <c r="D34" t="s">
        <v>8</v>
      </c>
      <c r="E34" t="s">
        <v>9</v>
      </c>
      <c r="F34" t="s">
        <v>14</v>
      </c>
      <c r="G34">
        <f>IF(F34="Low Spender",1,IF(F34="Moderate Spender",2,3))</f>
        <v>3</v>
      </c>
      <c r="H34" t="s">
        <v>18</v>
      </c>
      <c r="I34">
        <f>IF(H34="Never Engaged",1,IF(H34="Rarely Engaged",2,3))</f>
        <v>2</v>
      </c>
      <c r="J34">
        <f ca="1">RAND()</f>
        <v>0.52248324638318355</v>
      </c>
      <c r="L34">
        <f>(B34-B$103)/B$104</f>
        <v>-0.56322647858963848</v>
      </c>
      <c r="M34">
        <f>(C34-C$103)/C$104</f>
        <v>0.22506227972973167</v>
      </c>
      <c r="N34">
        <f>(G34-G$103)/G$104</f>
        <v>1.1869565217391307</v>
      </c>
      <c r="O34">
        <f>(I34-I$103)/I$104</f>
        <v>-0.15974400878586156</v>
      </c>
      <c r="Q34">
        <f>SQRT(($L34-V$1)^2+($M34-W$1)^2+($N34-X$1)^2+($O34-Y$1)^2)</f>
        <v>1.0108075420238658</v>
      </c>
      <c r="R34">
        <f>SQRT(($L34-Z$1)^2+($M34-AA$1)^2+($N34-AB$1)^2+($O34-AC$1)^2)</f>
        <v>3.3118089542972804</v>
      </c>
      <c r="S34">
        <f>SQRT(($L34-AD$1)^2+($M34-AE$1)^2+($N34-AF$1)^2+($O34-AG$1)^2)</f>
        <v>2.0387718017575058</v>
      </c>
      <c r="T34">
        <f>SQRT(($L34-AH$1)^2+($M34-AI$1)^2+($N34-AJ$1)^2+($O34-AK$1)^2)</f>
        <v>2.4134976132262658</v>
      </c>
      <c r="U34" t="str">
        <f>IF(Q34=MIN(Q34,R34,S34,T34),"Cluster 1",IF(R34=MIN(Q34,R34,S34,T34),"Cluster 2",IF(S34=MIN(Q34,R34,S34,T34),"Cluster 3","Cluster 4")))</f>
        <v>Cluster 1</v>
      </c>
    </row>
    <row r="35" spans="1:21" x14ac:dyDescent="0.3">
      <c r="A35">
        <v>34</v>
      </c>
      <c r="B35">
        <v>32</v>
      </c>
      <c r="C35">
        <v>63449.46</v>
      </c>
      <c r="D35" t="s">
        <v>7</v>
      </c>
      <c r="E35" t="s">
        <v>10</v>
      </c>
      <c r="F35" t="s">
        <v>13</v>
      </c>
      <c r="G35">
        <f>IF(F35="Low Spender",1,IF(F35="Moderate Spender",2,3))</f>
        <v>1</v>
      </c>
      <c r="H35" t="s">
        <v>18</v>
      </c>
      <c r="I35">
        <f>IF(H35="Never Engaged",1,IF(H35="Rarely Engaged",2,3))</f>
        <v>2</v>
      </c>
      <c r="J35">
        <f ca="1">RAND()</f>
        <v>0.35380178981846311</v>
      </c>
      <c r="L35">
        <f>(B35-B$103)/B$104</f>
        <v>-0.63470192003502413</v>
      </c>
      <c r="M35">
        <f>(C35-C$103)/C$104</f>
        <v>0.83001120609029067</v>
      </c>
      <c r="N35">
        <f>(G35-G$103)/G$104</f>
        <v>-1.4217391304347826</v>
      </c>
      <c r="O35">
        <f>(I35-I$103)/I$104</f>
        <v>-0.15974400878586156</v>
      </c>
      <c r="Q35">
        <f>SQRT(($L35-V$1)^2+($M35-W$1)^2+($N35-X$1)^2+($O35-Y$1)^2)</f>
        <v>2.8684387723577229</v>
      </c>
      <c r="R35">
        <f>SQRT(($L35-Z$1)^2+($M35-AA$1)^2+($N35-AB$1)^2+($O35-AC$1)^2)</f>
        <v>1.5859354433939641</v>
      </c>
      <c r="S35">
        <f>SQRT(($L35-AD$1)^2+($M35-AE$1)^2+($N35-AF$1)^2+($O35-AG$1)^2)</f>
        <v>2.3663482571694412</v>
      </c>
      <c r="T35">
        <f>SQRT(($L35-AH$1)^2+($M35-AI$1)^2+($N35-AJ$1)^2+($O35-AK$1)^2)</f>
        <v>2.8059535258329809</v>
      </c>
      <c r="U35" t="str">
        <f>IF(Q35=MIN(Q35,R35,S35,T35),"Cluster 1",IF(R35=MIN(Q35,R35,S35,T35),"Cluster 2",IF(S35=MIN(Q35,R35,S35,T35),"Cluster 3","Cluster 4")))</f>
        <v>Cluster 2</v>
      </c>
    </row>
    <row r="36" spans="1:21" x14ac:dyDescent="0.3">
      <c r="A36">
        <v>35</v>
      </c>
      <c r="B36">
        <v>64</v>
      </c>
      <c r="C36">
        <v>40845.17</v>
      </c>
      <c r="D36" t="s">
        <v>7</v>
      </c>
      <c r="E36" t="s">
        <v>11</v>
      </c>
      <c r="F36" t="s">
        <v>13</v>
      </c>
      <c r="G36">
        <f>IF(F36="Low Spender",1,IF(F36="Moderate Spender",2,3))</f>
        <v>1</v>
      </c>
      <c r="H36" t="s">
        <v>18</v>
      </c>
      <c r="I36">
        <f>IF(H36="Never Engaged",1,IF(H36="Rarely Engaged",2,3))</f>
        <v>2</v>
      </c>
      <c r="J36">
        <f ca="1">RAND()</f>
        <v>0.2925820826377572</v>
      </c>
      <c r="L36">
        <f>(B36-B$103)/B$104</f>
        <v>1.6525122062173143</v>
      </c>
      <c r="M36">
        <f>(C36-C$103)/C$104</f>
        <v>-0.6803809338768958</v>
      </c>
      <c r="N36">
        <f>(G36-G$103)/G$104</f>
        <v>-1.4217391304347826</v>
      </c>
      <c r="O36">
        <f>(I36-I$103)/I$104</f>
        <v>-0.15974400878586156</v>
      </c>
      <c r="Q36">
        <f>SQRT(($L36-V$1)^2+($M36-W$1)^2+($N36-X$1)^2+($O36-Y$1)^2)</f>
        <v>4.2109343497883636</v>
      </c>
      <c r="R36">
        <f>SQRT(($L36-Z$1)^2+($M36-AA$1)^2+($N36-AB$1)^2+($O36-AC$1)^2)</f>
        <v>3.5086471055641764</v>
      </c>
      <c r="S36">
        <f>SQRT(($L36-AD$1)^2+($M36-AE$1)^2+($N36-AF$1)^2+($O36-AG$1)^2)</f>
        <v>2.2949992953216833</v>
      </c>
      <c r="T36">
        <f>SQRT(($L36-AH$1)^2+($M36-AI$1)^2+($N36-AJ$1)^2+($O36-AK$1)^2)</f>
        <v>1.452742234810821</v>
      </c>
      <c r="U36" t="str">
        <f>IF(Q36=MIN(Q36,R36,S36,T36),"Cluster 1",IF(R36=MIN(Q36,R36,S36,T36),"Cluster 2",IF(S36=MIN(Q36,R36,S36,T36),"Cluster 3","Cluster 4")))</f>
        <v>Cluster 4</v>
      </c>
    </row>
    <row r="37" spans="1:21" x14ac:dyDescent="0.3">
      <c r="A37">
        <v>36</v>
      </c>
      <c r="B37">
        <v>61</v>
      </c>
      <c r="C37">
        <v>45257.51</v>
      </c>
      <c r="D37" t="s">
        <v>7</v>
      </c>
      <c r="E37" t="s">
        <v>9</v>
      </c>
      <c r="F37" t="s">
        <v>15</v>
      </c>
      <c r="G37">
        <f>IF(F37="Low Spender",1,IF(F37="Moderate Spender",2,3))</f>
        <v>2</v>
      </c>
      <c r="H37" t="s">
        <v>18</v>
      </c>
      <c r="I37">
        <f>IF(H37="Never Engaged",1,IF(H37="Rarely Engaged",2,3))</f>
        <v>2</v>
      </c>
      <c r="J37">
        <f ca="1">RAND()</f>
        <v>0.98380308342528766</v>
      </c>
      <c r="L37">
        <f>(B37-B$103)/B$104</f>
        <v>1.4380858818811577</v>
      </c>
      <c r="M37">
        <f>(C37-C$103)/C$104</f>
        <v>-0.3855535513374389</v>
      </c>
      <c r="N37">
        <f>(G37-G$103)/G$104</f>
        <v>-0.11739130434782591</v>
      </c>
      <c r="O37">
        <f>(I37-I$103)/I$104</f>
        <v>-0.15974400878586156</v>
      </c>
      <c r="Q37">
        <f>SQRT(($L37-V$1)^2+($M37-W$1)^2+($N37-X$1)^2+($O37-Y$1)^2)</f>
        <v>3.3063425065153149</v>
      </c>
      <c r="R37">
        <f>SQRT(($L37-Z$1)^2+($M37-AA$1)^2+($N37-AB$1)^2+($O37-AC$1)^2)</f>
        <v>3.424651158899735</v>
      </c>
      <c r="S37">
        <f>SQRT(($L37-AD$1)^2+($M37-AE$1)^2+($N37-AF$1)^2+($O37-AG$1)^2)</f>
        <v>1.7302095579839289</v>
      </c>
      <c r="T37">
        <f>SQRT(($L37-AH$1)^2+($M37-AI$1)^2+($N37-AJ$1)^2+($O37-AK$1)^2)</f>
        <v>0.68253437610415724</v>
      </c>
      <c r="U37" t="str">
        <f>IF(Q37=MIN(Q37,R37,S37,T37),"Cluster 1",IF(R37=MIN(Q37,R37,S37,T37),"Cluster 2",IF(S37=MIN(Q37,R37,S37,T37),"Cluster 3","Cluster 4")))</f>
        <v>Cluster 4</v>
      </c>
    </row>
    <row r="38" spans="1:21" x14ac:dyDescent="0.3">
      <c r="A38">
        <v>37</v>
      </c>
      <c r="B38">
        <v>20</v>
      </c>
      <c r="C38">
        <v>27763.64</v>
      </c>
      <c r="D38" t="s">
        <v>7</v>
      </c>
      <c r="E38" t="s">
        <v>10</v>
      </c>
      <c r="F38" t="s">
        <v>13</v>
      </c>
      <c r="G38">
        <f>IF(F38="Low Spender",1,IF(F38="Moderate Spender",2,3))</f>
        <v>1</v>
      </c>
      <c r="H38" t="s">
        <v>18</v>
      </c>
      <c r="I38">
        <f>IF(H38="Never Engaged",1,IF(H38="Rarely Engaged",2,3))</f>
        <v>2</v>
      </c>
      <c r="J38">
        <f ca="1">RAND()</f>
        <v>0.85599595586235844</v>
      </c>
      <c r="L38">
        <f>(B38-B$103)/B$104</f>
        <v>-1.492407217379651</v>
      </c>
      <c r="M38">
        <f>(C38-C$103)/C$104</f>
        <v>-1.5544734221056766</v>
      </c>
      <c r="N38">
        <f>(G38-G$103)/G$104</f>
        <v>-1.4217391304347826</v>
      </c>
      <c r="O38">
        <f>(I38-I$103)/I$104</f>
        <v>-0.15974400878586156</v>
      </c>
      <c r="Q38">
        <f>SQRT(($L38-V$1)^2+($M38-W$1)^2+($N38-X$1)^2+($O38-Y$1)^2)</f>
        <v>3.0804209476630806</v>
      </c>
      <c r="R38">
        <f>SQRT(($L38-Z$1)^2+($M38-AA$1)^2+($N38-AB$1)^2+($O38-AC$1)^2)</f>
        <v>3.8022157631070788</v>
      </c>
      <c r="S38">
        <f>SQRT(($L38-AD$1)^2+($M38-AE$1)^2+($N38-AF$1)^2+($O38-AG$1)^2)</f>
        <v>2.5811415349704943</v>
      </c>
      <c r="T38">
        <f>SQRT(($L38-AH$1)^2+($M38-AI$1)^2+($N38-AJ$1)^2+($O38-AK$1)^2)</f>
        <v>2.9440309730693635</v>
      </c>
      <c r="U38" t="str">
        <f>IF(Q38=MIN(Q38,R38,S38,T38),"Cluster 1",IF(R38=MIN(Q38,R38,S38,T38),"Cluster 2",IF(S38=MIN(Q38,R38,S38,T38),"Cluster 3","Cluster 4")))</f>
        <v>Cluster 3</v>
      </c>
    </row>
    <row r="39" spans="1:21" x14ac:dyDescent="0.3">
      <c r="A39">
        <v>38</v>
      </c>
      <c r="B39">
        <v>54</v>
      </c>
      <c r="C39">
        <v>46567.29</v>
      </c>
      <c r="D39" t="s">
        <v>7</v>
      </c>
      <c r="E39" t="s">
        <v>9</v>
      </c>
      <c r="F39" t="s">
        <v>15</v>
      </c>
      <c r="G39">
        <f>IF(F39="Low Spender",1,IF(F39="Moderate Spender",2,3))</f>
        <v>2</v>
      </c>
      <c r="H39" t="s">
        <v>17</v>
      </c>
      <c r="I39">
        <f>IF(H39="Never Engaged",1,IF(H39="Rarely Engaged",2,3))</f>
        <v>1</v>
      </c>
      <c r="J39">
        <f ca="1">RAND()</f>
        <v>0.62887441348950901</v>
      </c>
      <c r="L39">
        <f>(B39-B$103)/B$104</f>
        <v>0.93775779176345864</v>
      </c>
      <c r="M39">
        <f>(C39-C$103)/C$104</f>
        <v>-0.29803558828324789</v>
      </c>
      <c r="N39">
        <f>(G39-G$103)/G$104</f>
        <v>-0.11739130434782591</v>
      </c>
      <c r="O39">
        <f>(I39-I$103)/I$104</f>
        <v>-1.3007726429705861</v>
      </c>
      <c r="Q39">
        <f>SQRT(($L39-V$1)^2+($M39-W$1)^2+($N39-X$1)^2+($O39-Y$1)^2)</f>
        <v>3.066924918298525</v>
      </c>
      <c r="R39">
        <f>SQRT(($L39-Z$1)^2+($M39-AA$1)^2+($N39-AB$1)^2+($O39-AC$1)^2)</f>
        <v>2.9022094039079156</v>
      </c>
      <c r="S39">
        <f>SQRT(($L39-AD$1)^2+($M39-AE$1)^2+($N39-AF$1)^2+($O39-AG$1)^2)</f>
        <v>2.4297049308405017</v>
      </c>
      <c r="T39">
        <f>SQRT(($L39-AH$1)^2+($M39-AI$1)^2+($N39-AJ$1)^2+($O39-AK$1)^2)</f>
        <v>1.33039755516814</v>
      </c>
      <c r="U39" t="str">
        <f>IF(Q39=MIN(Q39,R39,S39,T39),"Cluster 1",IF(R39=MIN(Q39,R39,S39,T39),"Cluster 2",IF(S39=MIN(Q39,R39,S39,T39),"Cluster 3","Cluster 4")))</f>
        <v>Cluster 4</v>
      </c>
    </row>
    <row r="40" spans="1:21" x14ac:dyDescent="0.3">
      <c r="A40">
        <v>39</v>
      </c>
      <c r="B40">
        <v>24</v>
      </c>
      <c r="C40">
        <v>64439.62</v>
      </c>
      <c r="D40" t="s">
        <v>7</v>
      </c>
      <c r="E40" t="s">
        <v>12</v>
      </c>
      <c r="F40" t="s">
        <v>14</v>
      </c>
      <c r="G40">
        <f>IF(F40="Low Spender",1,IF(F40="Moderate Spender",2,3))</f>
        <v>3</v>
      </c>
      <c r="H40" t="s">
        <v>16</v>
      </c>
      <c r="I40">
        <f>IF(H40="Never Engaged",1,IF(H40="Rarely Engaged",2,3))</f>
        <v>3</v>
      </c>
      <c r="J40">
        <f ca="1">RAND()</f>
        <v>0.75285565647544062</v>
      </c>
      <c r="L40">
        <f>(B40-B$103)/B$104</f>
        <v>-1.2065054515981086</v>
      </c>
      <c r="M40">
        <f>(C40-C$103)/C$104</f>
        <v>0.8961725357011705</v>
      </c>
      <c r="N40">
        <f>(G40-G$103)/G$104</f>
        <v>1.1869565217391307</v>
      </c>
      <c r="O40">
        <f>(I40-I$103)/I$104</f>
        <v>0.98128462539886296</v>
      </c>
      <c r="Q40">
        <f>SQRT(($L40-V$1)^2+($M40-W$1)^2+($N40-X$1)^2+($O40-Y$1)^2)</f>
        <v>1.4464681205629626</v>
      </c>
      <c r="R40">
        <f>SQRT(($L40-Z$1)^2+($M40-AA$1)^2+($N40-AB$1)^2+($O40-AC$1)^2)</f>
        <v>3.6959326021142918</v>
      </c>
      <c r="S40">
        <f>SQRT(($L40-AD$1)^2+($M40-AE$1)^2+($N40-AF$1)^2+($O40-AG$1)^2)</f>
        <v>2.390447887331888</v>
      </c>
      <c r="T40">
        <f>SQRT(($L40-AH$1)^2+($M40-AI$1)^2+($N40-AJ$1)^2+($O40-AK$1)^2)</f>
        <v>3.4214332281735738</v>
      </c>
      <c r="U40" t="str">
        <f>IF(Q40=MIN(Q40,R40,S40,T40),"Cluster 1",IF(R40=MIN(Q40,R40,S40,T40),"Cluster 2",IF(S40=MIN(Q40,R40,S40,T40),"Cluster 3","Cluster 4")))</f>
        <v>Cluster 1</v>
      </c>
    </row>
    <row r="41" spans="1:21" x14ac:dyDescent="0.3">
      <c r="A41">
        <v>40</v>
      </c>
      <c r="B41">
        <v>38</v>
      </c>
      <c r="C41">
        <v>46854.61</v>
      </c>
      <c r="D41" t="s">
        <v>8</v>
      </c>
      <c r="E41" t="s">
        <v>11</v>
      </c>
      <c r="F41" t="s">
        <v>15</v>
      </c>
      <c r="G41">
        <f>IF(F41="Low Spender",1,IF(F41="Moderate Spender",2,3))</f>
        <v>2</v>
      </c>
      <c r="H41" t="s">
        <v>17</v>
      </c>
      <c r="I41">
        <f>IF(H41="Never Engaged",1,IF(H41="Rarely Engaged",2,3))</f>
        <v>1</v>
      </c>
      <c r="J41">
        <f ca="1">RAND()</f>
        <v>0.41318422183124803</v>
      </c>
      <c r="L41">
        <f>(B41-B$103)/B$104</f>
        <v>-0.20584927136271064</v>
      </c>
      <c r="M41">
        <f>(C41-C$103)/C$104</f>
        <v>-0.27883720294774866</v>
      </c>
      <c r="N41">
        <f>(G41-G$103)/G$104</f>
        <v>-0.11739130434782591</v>
      </c>
      <c r="O41">
        <f>(I41-I$103)/I$104</f>
        <v>-1.3007726429705861</v>
      </c>
      <c r="Q41">
        <f>SQRT(($L41-V$1)^2+($M41-W$1)^2+($N41-X$1)^2+($O41-Y$1)^2)</f>
        <v>2.2311091911946423</v>
      </c>
      <c r="R41">
        <f>SQRT(($L41-Z$1)^2+($M41-AA$1)^2+($N41-AB$1)^2+($O41-AC$1)^2)</f>
        <v>2.5573647974445453</v>
      </c>
      <c r="S41">
        <f>SQRT(($L41-AD$1)^2+($M41-AE$1)^2+($N41-AF$1)^2+($O41-AG$1)^2)</f>
        <v>2.3289668364695686</v>
      </c>
      <c r="T41">
        <f>SQRT(($L41-AH$1)^2+($M41-AI$1)^2+($N41-AJ$1)^2+($O41-AK$1)^2)</f>
        <v>1.8522447210293134</v>
      </c>
      <c r="U41" t="str">
        <f>IF(Q41=MIN(Q41,R41,S41,T41),"Cluster 1",IF(R41=MIN(Q41,R41,S41,T41),"Cluster 2",IF(S41=MIN(Q41,R41,S41,T41),"Cluster 3","Cluster 4")))</f>
        <v>Cluster 4</v>
      </c>
    </row>
    <row r="42" spans="1:21" x14ac:dyDescent="0.3">
      <c r="A42">
        <v>41</v>
      </c>
      <c r="B42">
        <v>26</v>
      </c>
      <c r="C42">
        <v>38389.360000000001</v>
      </c>
      <c r="D42" t="s">
        <v>7</v>
      </c>
      <c r="E42" t="s">
        <v>12</v>
      </c>
      <c r="F42" t="s">
        <v>14</v>
      </c>
      <c r="G42">
        <f>IF(F42="Low Spender",1,IF(F42="Moderate Spender",2,3))</f>
        <v>3</v>
      </c>
      <c r="H42" t="s">
        <v>18</v>
      </c>
      <c r="I42">
        <f>IF(H42="Never Engaged",1,IF(H42="Rarely Engaged",2,3))</f>
        <v>2</v>
      </c>
      <c r="J42">
        <f ca="1">RAND()</f>
        <v>0.6097896607085399</v>
      </c>
      <c r="L42">
        <f>(B42-B$103)/B$104</f>
        <v>-1.0635545687073376</v>
      </c>
      <c r="M42">
        <f>(C42-C$103)/C$104</f>
        <v>-0.8444752770857652</v>
      </c>
      <c r="N42">
        <f>(G42-G$103)/G$104</f>
        <v>1.1869565217391307</v>
      </c>
      <c r="O42">
        <f>(I42-I$103)/I$104</f>
        <v>-0.15974400878586156</v>
      </c>
      <c r="Q42">
        <f>SQRT(($L42-V$1)^2+($M42-W$1)^2+($N42-X$1)^2+($O42-Y$1)^2)</f>
        <v>1.0530877838418329</v>
      </c>
      <c r="R42">
        <f>SQRT(($L42-Z$1)^2+($M42-AA$1)^2+($N42-AB$1)^2+($O42-AC$1)^2)</f>
        <v>4.0137827570363882</v>
      </c>
      <c r="S42">
        <f>SQRT(($L42-AD$1)^2+($M42-AE$1)^2+($N42-AF$1)^2+($O42-AG$1)^2)</f>
        <v>2.1334301626521199</v>
      </c>
      <c r="T42">
        <f>SQRT(($L42-AH$1)^2+($M42-AI$1)^2+($N42-AJ$1)^2+($O42-AK$1)^2)</f>
        <v>2.5128095732502094</v>
      </c>
      <c r="U42" t="str">
        <f>IF(Q42=MIN(Q42,R42,S42,T42),"Cluster 1",IF(R42=MIN(Q42,R42,S42,T42),"Cluster 2",IF(S42=MIN(Q42,R42,S42,T42),"Cluster 3","Cluster 4")))</f>
        <v>Cluster 1</v>
      </c>
    </row>
    <row r="43" spans="1:21" x14ac:dyDescent="0.3">
      <c r="A43">
        <v>42</v>
      </c>
      <c r="B43">
        <v>56</v>
      </c>
      <c r="C43">
        <v>44603.33</v>
      </c>
      <c r="D43" t="s">
        <v>7</v>
      </c>
      <c r="E43" t="s">
        <v>10</v>
      </c>
      <c r="F43" t="s">
        <v>15</v>
      </c>
      <c r="G43">
        <f>IF(F43="Low Spender",1,IF(F43="Moderate Spender",2,3))</f>
        <v>2</v>
      </c>
      <c r="H43" t="s">
        <v>16</v>
      </c>
      <c r="I43">
        <f>IF(H43="Never Engaged",1,IF(H43="Rarely Engaged",2,3))</f>
        <v>3</v>
      </c>
      <c r="J43">
        <f ca="1">RAND()</f>
        <v>2.5744077068686755E-2</v>
      </c>
      <c r="L43">
        <f>(B43-B$103)/B$104</f>
        <v>1.0807086746542298</v>
      </c>
      <c r="M43">
        <f>(C43-C$103)/C$104</f>
        <v>-0.42926509149745873</v>
      </c>
      <c r="N43">
        <f>(G43-G$103)/G$104</f>
        <v>-0.11739130434782591</v>
      </c>
      <c r="O43">
        <f>(I43-I$103)/I$104</f>
        <v>0.98128462539886296</v>
      </c>
      <c r="Q43">
        <f>SQRT(($L43-V$1)^2+($M43-W$1)^2+($N43-X$1)^2+($O43-Y$1)^2)</f>
        <v>3.2029198515584194</v>
      </c>
      <c r="R43">
        <f>SQRT(($L43-Z$1)^2+($M43-AA$1)^2+($N43-AB$1)^2+($O43-AC$1)^2)</f>
        <v>3.8257224265428764</v>
      </c>
      <c r="S43">
        <f>SQRT(($L43-AD$1)^2+($M43-AE$1)^2+($N43-AF$1)^2+($O43-AG$1)^2)</f>
        <v>0.94076822017044293</v>
      </c>
      <c r="T43">
        <f>SQRT(($L43-AH$1)^2+($M43-AI$1)^2+($N43-AJ$1)^2+($O43-AK$1)^2)</f>
        <v>1.2614102405439658</v>
      </c>
      <c r="U43" t="str">
        <f>IF(Q43=MIN(Q43,R43,S43,T43),"Cluster 1",IF(R43=MIN(Q43,R43,S43,T43),"Cluster 2",IF(S43=MIN(Q43,R43,S43,T43),"Cluster 3","Cluster 4")))</f>
        <v>Cluster 3</v>
      </c>
    </row>
    <row r="44" spans="1:21" x14ac:dyDescent="0.3">
      <c r="A44">
        <v>43</v>
      </c>
      <c r="B44">
        <v>35</v>
      </c>
      <c r="C44">
        <v>60861.25</v>
      </c>
      <c r="D44" t="s">
        <v>8</v>
      </c>
      <c r="E44" t="s">
        <v>12</v>
      </c>
      <c r="F44" t="s">
        <v>13</v>
      </c>
      <c r="G44">
        <f>IF(F44="Low Spender",1,IF(F44="Moderate Spender",2,3))</f>
        <v>1</v>
      </c>
      <c r="H44" t="s">
        <v>18</v>
      </c>
      <c r="I44">
        <f>IF(H44="Never Engaged",1,IF(H44="Rarely Engaged",2,3))</f>
        <v>2</v>
      </c>
      <c r="J44">
        <f ca="1">RAND()</f>
        <v>0.50559962404568226</v>
      </c>
      <c r="L44">
        <f>(B44-B$103)/B$104</f>
        <v>-0.42027559569886735</v>
      </c>
      <c r="M44">
        <f>(C44-C$103)/C$104</f>
        <v>0.65707005020419695</v>
      </c>
      <c r="N44">
        <f>(G44-G$103)/G$104</f>
        <v>-1.4217391304347826</v>
      </c>
      <c r="O44">
        <f>(I44-I$103)/I$104</f>
        <v>-0.15974400878586156</v>
      </c>
      <c r="Q44">
        <f>SQRT(($L44-V$1)^2+($M44-W$1)^2+($N44-X$1)^2+($O44-Y$1)^2)</f>
        <v>2.9057948617290266</v>
      </c>
      <c r="R44">
        <f>SQRT(($L44-Z$1)^2+($M44-AA$1)^2+($N44-AB$1)^2+($O44-AC$1)^2)</f>
        <v>1.6949374052493813</v>
      </c>
      <c r="S44">
        <f>SQRT(($L44-AD$1)^2+($M44-AE$1)^2+($N44-AF$1)^2+($O44-AG$1)^2)</f>
        <v>2.2026890725298491</v>
      </c>
      <c r="T44">
        <f>SQRT(($L44-AH$1)^2+($M44-AI$1)^2+($N44-AJ$1)^2+($O44-AK$1)^2)</f>
        <v>2.5674955569287006</v>
      </c>
      <c r="U44" t="str">
        <f>IF(Q44=MIN(Q44,R44,S44,T44),"Cluster 1",IF(R44=MIN(Q44,R44,S44,T44),"Cluster 2",IF(S44=MIN(Q44,R44,S44,T44),"Cluster 3","Cluster 4")))</f>
        <v>Cluster 2</v>
      </c>
    </row>
    <row r="45" spans="1:21" x14ac:dyDescent="0.3">
      <c r="A45">
        <v>44</v>
      </c>
      <c r="B45">
        <v>21</v>
      </c>
      <c r="C45">
        <v>46163.53</v>
      </c>
      <c r="D45" t="s">
        <v>8</v>
      </c>
      <c r="E45" t="s">
        <v>12</v>
      </c>
      <c r="F45" t="s">
        <v>13</v>
      </c>
      <c r="G45">
        <f>IF(F45="Low Spender",1,IF(F45="Moderate Spender",2,3))</f>
        <v>1</v>
      </c>
      <c r="H45" t="s">
        <v>16</v>
      </c>
      <c r="I45">
        <f>IF(H45="Never Engaged",1,IF(H45="Rarely Engaged",2,3))</f>
        <v>3</v>
      </c>
      <c r="J45">
        <f ca="1">RAND()</f>
        <v>0.13821200202815598</v>
      </c>
      <c r="L45">
        <f>(B45-B$103)/B$104</f>
        <v>-1.4209317759342655</v>
      </c>
      <c r="M45">
        <f>(C45-C$103)/C$104</f>
        <v>-0.32501435781917021</v>
      </c>
      <c r="N45">
        <f>(G45-G$103)/G$104</f>
        <v>-1.4217391304347826</v>
      </c>
      <c r="O45">
        <f>(I45-I$103)/I$104</f>
        <v>0.98128462539886296</v>
      </c>
      <c r="Q45">
        <f>SQRT(($L45-V$1)^2+($M45-W$1)^2+($N45-X$1)^2+($O45-Y$1)^2)</f>
        <v>2.8798386869827479</v>
      </c>
      <c r="R45">
        <f>SQRT(($L45-Z$1)^2+($M45-AA$1)^2+($N45-AB$1)^2+($O45-AC$1)^2)</f>
        <v>3.3475707488422057</v>
      </c>
      <c r="S45">
        <f>SQRT(($L45-AD$1)^2+($M45-AE$1)^2+($N45-AF$1)^2+($O45-AG$1)^2)</f>
        <v>2.0584412887632459</v>
      </c>
      <c r="T45">
        <f>SQRT(($L45-AH$1)^2+($M45-AI$1)^2+($N45-AJ$1)^2+($O45-AK$1)^2)</f>
        <v>3.1102540951557249</v>
      </c>
      <c r="U45" t="str">
        <f>IF(Q45=MIN(Q45,R45,S45,T45),"Cluster 1",IF(R45=MIN(Q45,R45,S45,T45),"Cluster 2",IF(S45=MIN(Q45,R45,S45,T45),"Cluster 3","Cluster 4")))</f>
        <v>Cluster 3</v>
      </c>
    </row>
    <row r="46" spans="1:21" x14ac:dyDescent="0.3">
      <c r="A46">
        <v>45</v>
      </c>
      <c r="B46">
        <v>42</v>
      </c>
      <c r="C46">
        <v>62748.82</v>
      </c>
      <c r="D46" t="s">
        <v>8</v>
      </c>
      <c r="E46" t="s">
        <v>10</v>
      </c>
      <c r="F46" t="s">
        <v>14</v>
      </c>
      <c r="G46">
        <f>IF(F46="Low Spender",1,IF(F46="Moderate Spender",2,3))</f>
        <v>3</v>
      </c>
      <c r="H46" t="s">
        <v>17</v>
      </c>
      <c r="I46">
        <f>IF(H46="Never Engaged",1,IF(H46="Rarely Engaged",2,3))</f>
        <v>1</v>
      </c>
      <c r="J46">
        <f ca="1">RAND()</f>
        <v>0.37003800099849693</v>
      </c>
      <c r="L46">
        <f>(B46-B$103)/B$104</f>
        <v>8.0052494418831666E-2</v>
      </c>
      <c r="M46">
        <f>(C46-C$103)/C$104</f>
        <v>0.78319526323401834</v>
      </c>
      <c r="N46">
        <f>(G46-G$103)/G$104</f>
        <v>1.1869565217391307</v>
      </c>
      <c r="O46">
        <f>(I46-I$103)/I$104</f>
        <v>-1.3007726429705861</v>
      </c>
      <c r="Q46">
        <f>SQRT(($L46-V$1)^2+($M46-W$1)^2+($N46-X$1)^2+($O46-Y$1)^2)</f>
        <v>2.1203560855807448</v>
      </c>
      <c r="R46">
        <f>SQRT(($L46-Z$1)^2+($M46-AA$1)^2+($N46-AB$1)^2+($O46-AC$1)^2)</f>
        <v>2.8855223363060829</v>
      </c>
      <c r="S46">
        <f>SQRT(($L46-AD$1)^2+($M46-AE$1)^2+($N46-AF$1)^2+($O46-AG$1)^2)</f>
        <v>2.9602187609676154</v>
      </c>
      <c r="T46">
        <f>SQRT(($L46-AH$1)^2+($M46-AI$1)^2+($N46-AJ$1)^2+($O46-AK$1)^2)</f>
        <v>2.6585579914104316</v>
      </c>
      <c r="U46" t="str">
        <f>IF(Q46=MIN(Q46,R46,S46,T46),"Cluster 1",IF(R46=MIN(Q46,R46,S46,T46),"Cluster 2",IF(S46=MIN(Q46,R46,S46,T46),"Cluster 3","Cluster 4")))</f>
        <v>Cluster 1</v>
      </c>
    </row>
    <row r="47" spans="1:21" x14ac:dyDescent="0.3">
      <c r="A47">
        <v>46</v>
      </c>
      <c r="B47">
        <v>31</v>
      </c>
      <c r="C47">
        <v>30330.14</v>
      </c>
      <c r="D47" t="s">
        <v>8</v>
      </c>
      <c r="E47" t="s">
        <v>9</v>
      </c>
      <c r="F47" t="s">
        <v>14</v>
      </c>
      <c r="G47">
        <f>IF(F47="Low Spender",1,IF(F47="Moderate Spender",2,3))</f>
        <v>3</v>
      </c>
      <c r="H47" t="s">
        <v>16</v>
      </c>
      <c r="I47">
        <f>IF(H47="Never Engaged",1,IF(H47="Rarely Engaged",2,3))</f>
        <v>3</v>
      </c>
      <c r="J47">
        <f ca="1">RAND()</f>
        <v>0.4873515028177039</v>
      </c>
      <c r="L47">
        <f>(B47-B$103)/B$104</f>
        <v>-0.70617736148040966</v>
      </c>
      <c r="M47">
        <f>(C47-C$103)/C$104</f>
        <v>-1.3829829029508709</v>
      </c>
      <c r="N47">
        <f>(G47-G$103)/G$104</f>
        <v>1.1869565217391307</v>
      </c>
      <c r="O47">
        <f>(I47-I$103)/I$104</f>
        <v>0.98128462539886296</v>
      </c>
      <c r="Q47">
        <f>SQRT(($L47-V$1)^2+($M47-W$1)^2+($N47-X$1)^2+($O47-Y$1)^2)</f>
        <v>2.0455484839948794</v>
      </c>
      <c r="R47">
        <f>SQRT(($L47-Z$1)^2+($M47-AA$1)^2+($N47-AB$1)^2+($O47-AC$1)^2)</f>
        <v>4.7897045100262972</v>
      </c>
      <c r="S47">
        <f>SQRT(($L47-AD$1)^2+($M47-AE$1)^2+($N47-AF$1)^2+($O47-AG$1)^2)</f>
        <v>1.7571146060899103</v>
      </c>
      <c r="T47">
        <f>SQRT(($L47-AH$1)^2+($M47-AI$1)^2+($N47-AJ$1)^2+($O47-AK$1)^2)</f>
        <v>2.5237341228728818</v>
      </c>
      <c r="U47" t="str">
        <f>IF(Q47=MIN(Q47,R47,S47,T47),"Cluster 1",IF(R47=MIN(Q47,R47,S47,T47),"Cluster 2",IF(S47=MIN(Q47,R47,S47,T47),"Cluster 3","Cluster 4")))</f>
        <v>Cluster 3</v>
      </c>
    </row>
    <row r="48" spans="1:21" x14ac:dyDescent="0.3">
      <c r="A48">
        <v>47</v>
      </c>
      <c r="B48">
        <v>26</v>
      </c>
      <c r="C48">
        <v>36945.43</v>
      </c>
      <c r="D48" t="s">
        <v>7</v>
      </c>
      <c r="E48" t="s">
        <v>12</v>
      </c>
      <c r="F48" t="s">
        <v>14</v>
      </c>
      <c r="G48">
        <f>IF(F48="Low Spender",1,IF(F48="Moderate Spender",2,3))</f>
        <v>3</v>
      </c>
      <c r="H48" t="s">
        <v>16</v>
      </c>
      <c r="I48">
        <f>IF(H48="Never Engaged",1,IF(H48="Rarely Engaged",2,3))</f>
        <v>3</v>
      </c>
      <c r="J48">
        <f ca="1">RAND()</f>
        <v>1.8959208583958942E-2</v>
      </c>
      <c r="L48">
        <f>(B48-B$103)/B$104</f>
        <v>-1.0635545687073376</v>
      </c>
      <c r="M48">
        <f>(C48-C$103)/C$104</f>
        <v>-0.94095698576419828</v>
      </c>
      <c r="N48">
        <f>(G48-G$103)/G$104</f>
        <v>1.1869565217391307</v>
      </c>
      <c r="O48">
        <f>(I48-I$103)/I$104</f>
        <v>0.98128462539886296</v>
      </c>
      <c r="Q48">
        <f>SQRT(($L48-V$1)^2+($M48-W$1)^2+($N48-X$1)^2+($O48-Y$1)^2)</f>
        <v>1.6121591054973428</v>
      </c>
      <c r="R48">
        <f>SQRT(($L48-Z$1)^2+($M48-AA$1)^2+($N48-AB$1)^2+($O48-AC$1)^2)</f>
        <v>4.5340039996315538</v>
      </c>
      <c r="S48">
        <f>SQRT(($L48-AD$1)^2+($M48-AE$1)^2+($N48-AF$1)^2+($O48-AG$1)^2)</f>
        <v>1.8195061671352692</v>
      </c>
      <c r="T48">
        <f>SQRT(($L48-AH$1)^2+($M48-AI$1)^2+($N48-AJ$1)^2+($O48-AK$1)^2)</f>
        <v>2.7571389418214225</v>
      </c>
      <c r="U48" t="str">
        <f>IF(Q48=MIN(Q48,R48,S48,T48),"Cluster 1",IF(R48=MIN(Q48,R48,S48,T48),"Cluster 2",IF(S48=MIN(Q48,R48,S48,T48),"Cluster 3","Cluster 4")))</f>
        <v>Cluster 1</v>
      </c>
    </row>
    <row r="49" spans="1:21" x14ac:dyDescent="0.3">
      <c r="A49">
        <v>48</v>
      </c>
      <c r="B49">
        <v>43</v>
      </c>
      <c r="C49">
        <v>42400.35</v>
      </c>
      <c r="D49" t="s">
        <v>7</v>
      </c>
      <c r="E49" t="s">
        <v>9</v>
      </c>
      <c r="F49" t="s">
        <v>15</v>
      </c>
      <c r="G49">
        <f>IF(F49="Low Spender",1,IF(F49="Moderate Spender",2,3))</f>
        <v>2</v>
      </c>
      <c r="H49" t="s">
        <v>16</v>
      </c>
      <c r="I49">
        <f>IF(H49="Never Engaged",1,IF(H49="Rarely Engaged",2,3))</f>
        <v>3</v>
      </c>
      <c r="J49">
        <f ca="1">RAND()</f>
        <v>0.22828974087254372</v>
      </c>
      <c r="L49">
        <f>(B49-B$103)/B$104</f>
        <v>0.15152793586421723</v>
      </c>
      <c r="M49">
        <f>(C49-C$103)/C$104</f>
        <v>-0.57646563070948076</v>
      </c>
      <c r="N49">
        <f>(G49-G$103)/G$104</f>
        <v>-0.11739130434782591</v>
      </c>
      <c r="O49">
        <f>(I49-I$103)/I$104</f>
        <v>0.98128462539886296</v>
      </c>
      <c r="Q49">
        <f>SQRT(($L49-V$1)^2+($M49-W$1)^2+($N49-X$1)^2+($O49-Y$1)^2)</f>
        <v>2.5258067789783212</v>
      </c>
      <c r="R49">
        <f>SQRT(($L49-Z$1)^2+($M49-AA$1)^2+($N49-AB$1)^2+($O49-AC$1)^2)</f>
        <v>3.6634176790058879</v>
      </c>
      <c r="S49">
        <f>SQRT(($L49-AD$1)^2+($M49-AE$1)^2+($N49-AF$1)^2+($O49-AG$1)^2)</f>
        <v>2.7755575615628914E-15</v>
      </c>
      <c r="T49">
        <f>SQRT(($L49-AH$1)^2+($M49-AI$1)^2+($N49-AJ$1)^2+($O49-AK$1)^2)</f>
        <v>1.5224575679158716</v>
      </c>
      <c r="U49" t="str">
        <f>IF(Q49=MIN(Q49,R49,S49,T49),"Cluster 1",IF(R49=MIN(Q49,R49,S49,T49),"Cluster 2",IF(S49=MIN(Q49,R49,S49,T49),"Cluster 3","Cluster 4")))</f>
        <v>Cluster 3</v>
      </c>
    </row>
    <row r="50" spans="1:21" x14ac:dyDescent="0.3">
      <c r="A50">
        <v>49</v>
      </c>
      <c r="B50">
        <v>19</v>
      </c>
      <c r="C50">
        <v>30350.74</v>
      </c>
      <c r="D50" t="s">
        <v>7</v>
      </c>
      <c r="E50" t="s">
        <v>12</v>
      </c>
      <c r="F50" t="s">
        <v>15</v>
      </c>
      <c r="G50">
        <f>IF(F50="Low Spender",1,IF(F50="Moderate Spender",2,3))</f>
        <v>2</v>
      </c>
      <c r="H50" t="s">
        <v>16</v>
      </c>
      <c r="I50">
        <f>IF(H50="Never Engaged",1,IF(H50="Rarely Engaged",2,3))</f>
        <v>3</v>
      </c>
      <c r="J50">
        <f ca="1">RAND()</f>
        <v>0.62731090421304714</v>
      </c>
      <c r="L50">
        <f>(B50-B$103)/B$104</f>
        <v>-1.5638826588250365</v>
      </c>
      <c r="M50">
        <f>(C50-C$103)/C$104</f>
        <v>-1.3816064351174053</v>
      </c>
      <c r="N50">
        <f>(G50-G$103)/G$104</f>
        <v>-0.11739130434782591</v>
      </c>
      <c r="O50">
        <f>(I50-I$103)/I$104</f>
        <v>0.98128462539886296</v>
      </c>
      <c r="Q50">
        <f>SQRT(($L50-V$1)^2+($M50-W$1)^2+($N50-X$1)^2+($O50-Y$1)^2)</f>
        <v>2.2684580459585515</v>
      </c>
      <c r="R50">
        <f>SQRT(($L50-Z$1)^2+($M50-AA$1)^2+($N50-AB$1)^2+($O50-AC$1)^2)</f>
        <v>4.3651268279600073</v>
      </c>
      <c r="S50">
        <f>SQRT(($L50-AD$1)^2+($M50-AE$1)^2+($N50-AF$1)^2+($O50-AG$1)^2)</f>
        <v>1.894963119243956</v>
      </c>
      <c r="T50">
        <f>SQRT(($L50-AH$1)^2+($M50-AI$1)^2+($N50-AJ$1)^2+($O50-AK$1)^2)</f>
        <v>2.9099259675421032</v>
      </c>
      <c r="U50" t="str">
        <f>IF(Q50=MIN(Q50,R50,S50,T50),"Cluster 1",IF(R50=MIN(Q50,R50,S50,T50),"Cluster 2",IF(S50=MIN(Q50,R50,S50,T50),"Cluster 3","Cluster 4")))</f>
        <v>Cluster 3</v>
      </c>
    </row>
    <row r="51" spans="1:21" x14ac:dyDescent="0.3">
      <c r="A51">
        <v>50</v>
      </c>
      <c r="B51">
        <v>37</v>
      </c>
      <c r="C51">
        <v>94154.95</v>
      </c>
      <c r="D51" t="s">
        <v>7</v>
      </c>
      <c r="E51" t="s">
        <v>9</v>
      </c>
      <c r="F51" t="s">
        <v>14</v>
      </c>
      <c r="G51">
        <f>IF(F51="Low Spender",1,IF(F51="Moderate Spender",2,3))</f>
        <v>3</v>
      </c>
      <c r="H51" t="s">
        <v>16</v>
      </c>
      <c r="I51">
        <f>IF(H51="Never Engaged",1,IF(H51="Rarely Engaged",2,3))</f>
        <v>3</v>
      </c>
      <c r="J51">
        <f ca="1">RAND()</f>
        <v>0.57230953197972256</v>
      </c>
      <c r="L51">
        <f>(B51-B$103)/B$104</f>
        <v>-0.27732471280809623</v>
      </c>
      <c r="M51">
        <f>(C51-C$103)/C$104</f>
        <v>2.8817160262744701</v>
      </c>
      <c r="N51">
        <f>(G51-G$103)/G$104</f>
        <v>1.1869565217391307</v>
      </c>
      <c r="O51">
        <f>(I51-I$103)/I$104</f>
        <v>0.98128462539886296</v>
      </c>
      <c r="Q51">
        <f>SQRT(($L51-V$1)^2+($M51-W$1)^2+($N51-X$1)^2+($O51-Y$1)^2)</f>
        <v>3.2855217437583901</v>
      </c>
      <c r="R51">
        <f>SQRT(($L51-Z$1)^2+($M51-AA$1)^2+($N51-AB$1)^2+($O51-AC$1)^2)</f>
        <v>3.6023526371301511</v>
      </c>
      <c r="S51">
        <f>SQRT(($L51-AD$1)^2+($M51-AE$1)^2+($N51-AF$1)^2+($O51-AG$1)^2)</f>
        <v>3.7207873116306001</v>
      </c>
      <c r="T51">
        <f>SQRT(($L51-AH$1)^2+($M51-AI$1)^2+($N51-AJ$1)^2+($O51-AK$1)^2)</f>
        <v>4.4340164195589002</v>
      </c>
      <c r="U51" t="str">
        <f>IF(Q51=MIN(Q51,R51,S51,T51),"Cluster 1",IF(R51=MIN(Q51,R51,S51,T51),"Cluster 2",IF(S51=MIN(Q51,R51,S51,T51),"Cluster 3","Cluster 4")))</f>
        <v>Cluster 1</v>
      </c>
    </row>
    <row r="52" spans="1:21" x14ac:dyDescent="0.3">
      <c r="A52">
        <v>51</v>
      </c>
      <c r="B52">
        <v>45</v>
      </c>
      <c r="C52">
        <v>33556.01</v>
      </c>
      <c r="D52" t="s">
        <v>7</v>
      </c>
      <c r="E52" t="s">
        <v>10</v>
      </c>
      <c r="F52" t="s">
        <v>13</v>
      </c>
      <c r="G52">
        <f>IF(F52="Low Spender",1,IF(F52="Moderate Spender",2,3))</f>
        <v>1</v>
      </c>
      <c r="H52" t="s">
        <v>18</v>
      </c>
      <c r="I52">
        <f>IF(H52="Never Engaged",1,IF(H52="Rarely Engaged",2,3))</f>
        <v>2</v>
      </c>
      <c r="J52">
        <f ca="1">RAND()</f>
        <v>0.51728338253621164</v>
      </c>
      <c r="L52">
        <f>(B52-B$103)/B$104</f>
        <v>0.29447881875498838</v>
      </c>
      <c r="M52">
        <f>(C52-C$103)/C$104</f>
        <v>-1.167434053924604</v>
      </c>
      <c r="N52">
        <f>(G52-G$103)/G$104</f>
        <v>-1.4217391304347826</v>
      </c>
      <c r="O52">
        <f>(I52-I$103)/I$104</f>
        <v>-0.15974400878586156</v>
      </c>
      <c r="Q52">
        <f>SQRT(($L52-V$1)^2+($M52-W$1)^2+($N52-X$1)^2+($O52-Y$1)^2)</f>
        <v>3.438066735088722</v>
      </c>
      <c r="R52">
        <f>SQRT(($L52-Z$1)^2+($M52-AA$1)^2+($N52-AB$1)^2+($O52-AC$1)^2)</f>
        <v>3.359457929705163</v>
      </c>
      <c r="S52">
        <f>SQRT(($L52-AD$1)^2+($M52-AE$1)^2+($N52-AF$1)^2+($O52-AG$1)^2)</f>
        <v>1.8365588004754574</v>
      </c>
      <c r="T52">
        <f>SQRT(($L52-AH$1)^2+($M52-AI$1)^2+($N52-AJ$1)^2+($O52-AK$1)^2)</f>
        <v>1.5361105373944748</v>
      </c>
      <c r="U52" t="str">
        <f>IF(Q52=MIN(Q52,R52,S52,T52),"Cluster 1",IF(R52=MIN(Q52,R52,S52,T52),"Cluster 2",IF(S52=MIN(Q52,R52,S52,T52),"Cluster 3","Cluster 4")))</f>
        <v>Cluster 4</v>
      </c>
    </row>
    <row r="53" spans="1:21" x14ac:dyDescent="0.3">
      <c r="A53">
        <v>52</v>
      </c>
      <c r="B53">
        <v>64</v>
      </c>
      <c r="C53">
        <v>63723.26</v>
      </c>
      <c r="D53" t="s">
        <v>7</v>
      </c>
      <c r="E53" t="s">
        <v>12</v>
      </c>
      <c r="F53" t="s">
        <v>15</v>
      </c>
      <c r="G53">
        <f>IF(F53="Low Spender",1,IF(F53="Moderate Spender",2,3))</f>
        <v>2</v>
      </c>
      <c r="H53" t="s">
        <v>16</v>
      </c>
      <c r="I53">
        <f>IF(H53="Never Engaged",1,IF(H53="Rarely Engaged",2,3))</f>
        <v>3</v>
      </c>
      <c r="J53">
        <f ca="1">RAND()</f>
        <v>0.85568307467486682</v>
      </c>
      <c r="L53">
        <f>(B53-B$103)/B$104</f>
        <v>1.6525122062173143</v>
      </c>
      <c r="M53">
        <f>(C53-C$103)/C$104</f>
        <v>0.84830620088654485</v>
      </c>
      <c r="N53">
        <f>(G53-G$103)/G$104</f>
        <v>-0.11739130434782591</v>
      </c>
      <c r="O53">
        <f>(I53-I$103)/I$104</f>
        <v>0.98128462539886296</v>
      </c>
      <c r="Q53">
        <f>SQRT(($L53-V$1)^2+($M53-W$1)^2+($N53-X$1)^2+($O53-Y$1)^2)</f>
        <v>3.7330195534053945</v>
      </c>
      <c r="R53">
        <f>SQRT(($L53-Z$1)^2+($M53-AA$1)^2+($N53-AB$1)^2+($O53-AC$1)^2)</f>
        <v>3.5119263921976307</v>
      </c>
      <c r="S53">
        <f>SQRT(($L53-AD$1)^2+($M53-AE$1)^2+($N53-AF$1)^2+($O53-AG$1)^2)</f>
        <v>2.0695237500345112</v>
      </c>
      <c r="T53">
        <f>SQRT(($L53-AH$1)^2+($M53-AI$1)^2+($N53-AJ$1)^2+($O53-AK$1)^2)</f>
        <v>2.2191018684029498</v>
      </c>
      <c r="U53" t="str">
        <f>IF(Q53=MIN(Q53,R53,S53,T53),"Cluster 1",IF(R53=MIN(Q53,R53,S53,T53),"Cluster 2",IF(S53=MIN(Q53,R53,S53,T53),"Cluster 3","Cluster 4")))</f>
        <v>Cluster 3</v>
      </c>
    </row>
    <row r="54" spans="1:21" x14ac:dyDescent="0.3">
      <c r="A54">
        <v>53</v>
      </c>
      <c r="B54">
        <v>24</v>
      </c>
      <c r="C54">
        <v>40009.089999999997</v>
      </c>
      <c r="D54" t="s">
        <v>8</v>
      </c>
      <c r="E54" t="s">
        <v>10</v>
      </c>
      <c r="F54" t="s">
        <v>15</v>
      </c>
      <c r="G54">
        <f>IF(F54="Low Spender",1,IF(F54="Moderate Spender",2,3))</f>
        <v>2</v>
      </c>
      <c r="H54" t="s">
        <v>16</v>
      </c>
      <c r="I54">
        <f>IF(H54="Never Engaged",1,IF(H54="Rarely Engaged",2,3))</f>
        <v>3</v>
      </c>
      <c r="J54">
        <f ca="1">RAND()</f>
        <v>0.18557651154065413</v>
      </c>
      <c r="L54">
        <f>(B54-B$103)/B$104</f>
        <v>-1.2065054515981086</v>
      </c>
      <c r="M54">
        <f>(C54-C$103)/C$104</f>
        <v>-0.73624681864406916</v>
      </c>
      <c r="N54">
        <f>(G54-G$103)/G$104</f>
        <v>-0.11739130434782591</v>
      </c>
      <c r="O54">
        <f>(I54-I$103)/I$104</f>
        <v>0.98128462539886296</v>
      </c>
      <c r="Q54">
        <f>SQRT(($L54-V$1)^2+($M54-W$1)^2+($N54-X$1)^2+($O54-Y$1)^2)</f>
        <v>1.9495612434038534</v>
      </c>
      <c r="R54">
        <f>SQRT(($L54-Z$1)^2+($M54-AA$1)^2+($N54-AB$1)^2+($O54-AC$1)^2)</f>
        <v>3.8120951987392613</v>
      </c>
      <c r="S54">
        <f>SQRT(($L54-AD$1)^2+($M54-AE$1)^2+($N54-AF$1)^2+($O54-AG$1)^2)</f>
        <v>1.3674007128417729</v>
      </c>
      <c r="T54">
        <f>SQRT(($L54-AH$1)^2+($M54-AI$1)^2+($N54-AJ$1)^2+($O54-AK$1)^2)</f>
        <v>2.5664301192572512</v>
      </c>
      <c r="U54" t="str">
        <f>IF(Q54=MIN(Q54,R54,S54,T54),"Cluster 1",IF(R54=MIN(Q54,R54,S54,T54),"Cluster 2",IF(S54=MIN(Q54,R54,S54,T54),"Cluster 3","Cluster 4")))</f>
        <v>Cluster 3</v>
      </c>
    </row>
    <row r="55" spans="1:21" x14ac:dyDescent="0.3">
      <c r="A55">
        <v>54</v>
      </c>
      <c r="B55">
        <v>61</v>
      </c>
      <c r="C55">
        <v>42293.19</v>
      </c>
      <c r="D55" t="s">
        <v>7</v>
      </c>
      <c r="E55" t="s">
        <v>12</v>
      </c>
      <c r="F55" t="s">
        <v>15</v>
      </c>
      <c r="G55">
        <f>IF(F55="Low Spender",1,IF(F55="Moderate Spender",2,3))</f>
        <v>2</v>
      </c>
      <c r="H55" t="s">
        <v>17</v>
      </c>
      <c r="I55">
        <f>IF(H55="Never Engaged",1,IF(H55="Rarely Engaged",2,3))</f>
        <v>1</v>
      </c>
      <c r="J55">
        <f ca="1">RAND()</f>
        <v>4.1505975356277536E-2</v>
      </c>
      <c r="L55">
        <f>(B55-B$103)/B$104</f>
        <v>1.4380858818811577</v>
      </c>
      <c r="M55">
        <f>(C55-C$103)/C$104</f>
        <v>-0.58362593619657532</v>
      </c>
      <c r="N55">
        <f>(G55-G$103)/G$104</f>
        <v>-0.11739130434782591</v>
      </c>
      <c r="O55">
        <f>(I55-I$103)/I$104</f>
        <v>-1.3007726429705861</v>
      </c>
      <c r="Q55">
        <f>SQRT(($L55-V$1)^2+($M55-W$1)^2+($N55-X$1)^2+($O55-Y$1)^2)</f>
        <v>3.5296408862164066</v>
      </c>
      <c r="R55">
        <f>SQRT(($L55-Z$1)^2+($M55-AA$1)^2+($N55-AB$1)^2+($O55-AC$1)^2)</f>
        <v>3.372692796097446</v>
      </c>
      <c r="S55">
        <f>SQRT(($L55-AD$1)^2+($M55-AE$1)^2+($N55-AF$1)^2+($O55-AG$1)^2)</f>
        <v>2.6197457881542303</v>
      </c>
      <c r="T55">
        <f>SQRT(($L55-AH$1)^2+($M55-AI$1)^2+($N55-AJ$1)^2+($O55-AK$1)^2)</f>
        <v>1.2556578252904418</v>
      </c>
      <c r="U55" t="str">
        <f>IF(Q55=MIN(Q55,R55,S55,T55),"Cluster 1",IF(R55=MIN(Q55,R55,S55,T55),"Cluster 2",IF(S55=MIN(Q55,R55,S55,T55),"Cluster 3","Cluster 4")))</f>
        <v>Cluster 4</v>
      </c>
    </row>
    <row r="56" spans="1:21" x14ac:dyDescent="0.3">
      <c r="A56">
        <v>55</v>
      </c>
      <c r="B56">
        <v>25</v>
      </c>
      <c r="C56">
        <v>54519.839999999997</v>
      </c>
      <c r="D56" t="s">
        <v>8</v>
      </c>
      <c r="E56" t="s">
        <v>10</v>
      </c>
      <c r="F56" t="s">
        <v>14</v>
      </c>
      <c r="G56">
        <f>IF(F56="Low Spender",1,IF(F56="Moderate Spender",2,3))</f>
        <v>3</v>
      </c>
      <c r="H56" t="s">
        <v>16</v>
      </c>
      <c r="I56">
        <f>IF(H56="Never Engaged",1,IF(H56="Rarely Engaged",2,3))</f>
        <v>3</v>
      </c>
      <c r="J56">
        <f ca="1">RAND()</f>
        <v>4.6842063514753507E-2</v>
      </c>
      <c r="L56">
        <f>(B56-B$103)/B$104</f>
        <v>-1.1350300101527231</v>
      </c>
      <c r="M56">
        <f>(C56-C$103)/C$104</f>
        <v>0.23334447331992755</v>
      </c>
      <c r="N56">
        <f>(G56-G$103)/G$104</f>
        <v>1.1869565217391307</v>
      </c>
      <c r="O56">
        <f>(I56-I$103)/I$104</f>
        <v>0.98128462539886296</v>
      </c>
      <c r="Q56">
        <f>SQRT(($L56-V$1)^2+($M56-W$1)^2+($N56-X$1)^2+($O56-Y$1)^2)</f>
        <v>1.2282978481503182</v>
      </c>
      <c r="R56">
        <f>SQRT(($L56-Z$1)^2+($M56-AA$1)^2+($N56-AB$1)^2+($O56-AC$1)^2)</f>
        <v>3.9161854280108659</v>
      </c>
      <c r="S56">
        <f>SQRT(($L56-AD$1)^2+($M56-AE$1)^2+($N56-AF$1)^2+($O56-AG$1)^2)</f>
        <v>2.0030843727774461</v>
      </c>
      <c r="T56">
        <f>SQRT(($L56-AH$1)^2+($M56-AI$1)^2+($N56-AJ$1)^2+($O56-AK$1)^2)</f>
        <v>3.0583831283594876</v>
      </c>
      <c r="U56" t="str">
        <f>IF(Q56=MIN(Q56,R56,S56,T56),"Cluster 1",IF(R56=MIN(Q56,R56,S56,T56),"Cluster 2",IF(S56=MIN(Q56,R56,S56,T56),"Cluster 3","Cluster 4")))</f>
        <v>Cluster 1</v>
      </c>
    </row>
    <row r="57" spans="1:21" x14ac:dyDescent="0.3">
      <c r="A57">
        <v>56</v>
      </c>
      <c r="B57">
        <v>64</v>
      </c>
      <c r="C57">
        <v>28122.25</v>
      </c>
      <c r="D57" t="s">
        <v>8</v>
      </c>
      <c r="E57" t="s">
        <v>10</v>
      </c>
      <c r="F57" t="s">
        <v>14</v>
      </c>
      <c r="G57">
        <f>IF(F57="Low Spender",1,IF(F57="Moderate Spender",2,3))</f>
        <v>3</v>
      </c>
      <c r="H57" t="s">
        <v>17</v>
      </c>
      <c r="I57">
        <f>IF(H57="Never Engaged",1,IF(H57="Rarely Engaged",2,3))</f>
        <v>1</v>
      </c>
      <c r="J57">
        <f ca="1">RAND()</f>
        <v>0.62891609805192483</v>
      </c>
      <c r="L57">
        <f>(B57-B$103)/B$104</f>
        <v>1.6525122062173143</v>
      </c>
      <c r="M57">
        <f>(C57-C$103)/C$104</f>
        <v>-1.5305115226028108</v>
      </c>
      <c r="N57">
        <f>(G57-G$103)/G$104</f>
        <v>1.1869565217391307</v>
      </c>
      <c r="O57">
        <f>(I57-I$103)/I$104</f>
        <v>-1.3007726429705861</v>
      </c>
      <c r="Q57">
        <f>SQRT(($L57-V$1)^2+($M57-W$1)^2+($N57-X$1)^2+($O57-Y$1)^2)</f>
        <v>3.7746355975331065</v>
      </c>
      <c r="R57">
        <f>SQRT(($L57-Z$1)^2+($M57-AA$1)^2+($N57-AB$1)^2+($O57-AC$1)^2)</f>
        <v>4.7897492753239774</v>
      </c>
      <c r="S57">
        <f>SQRT(($L57-AD$1)^2+($M57-AE$1)^2+($N57-AF$1)^2+($O57-AG$1)^2)</f>
        <v>3.1736833445102186</v>
      </c>
      <c r="T57">
        <f>SQRT(($L57-AH$1)^2+($M57-AI$1)^2+($N57-AJ$1)^2+($O57-AK$1)^2)</f>
        <v>1.9099008008916134</v>
      </c>
      <c r="U57" t="str">
        <f>IF(Q57=MIN(Q57,R57,S57,T57),"Cluster 1",IF(R57=MIN(Q57,R57,S57,T57),"Cluster 2",IF(S57=MIN(Q57,R57,S57,T57),"Cluster 3","Cluster 4")))</f>
        <v>Cluster 4</v>
      </c>
    </row>
    <row r="58" spans="1:21" x14ac:dyDescent="0.3">
      <c r="A58">
        <v>57</v>
      </c>
      <c r="B58">
        <v>52</v>
      </c>
      <c r="C58">
        <v>40058.93</v>
      </c>
      <c r="D58" t="s">
        <v>7</v>
      </c>
      <c r="E58" t="s">
        <v>12</v>
      </c>
      <c r="F58" t="s">
        <v>14</v>
      </c>
      <c r="G58">
        <f>IF(F58="Low Spender",1,IF(F58="Moderate Spender",2,3))</f>
        <v>3</v>
      </c>
      <c r="H58" t="s">
        <v>18</v>
      </c>
      <c r="I58">
        <f>IF(H58="Never Engaged",1,IF(H58="Rarely Engaged",2,3))</f>
        <v>2</v>
      </c>
      <c r="J58">
        <f ca="1">RAND()</f>
        <v>0.29963230397457941</v>
      </c>
      <c r="L58">
        <f>(B58-B$103)/B$104</f>
        <v>0.79480690887268746</v>
      </c>
      <c r="M58">
        <f>(C58-C$103)/C$104</f>
        <v>-0.732916568313005</v>
      </c>
      <c r="N58">
        <f>(G58-G$103)/G$104</f>
        <v>1.1869565217391307</v>
      </c>
      <c r="O58">
        <f>(I58-I$103)/I$104</f>
        <v>-0.15974400878586156</v>
      </c>
      <c r="Q58">
        <f>SQRT(($L58-V$1)^2+($M58-W$1)^2+($N58-X$1)^2+($O58-Y$1)^2)</f>
        <v>2.4955515423364623</v>
      </c>
      <c r="R58">
        <f>SQRT(($L58-Z$1)^2+($M58-AA$1)^2+($N58-AB$1)^2+($O58-AC$1)^2)</f>
        <v>4.0707310952284947</v>
      </c>
      <c r="S58">
        <f>SQRT(($L58-AD$1)^2+($M58-AE$1)^2+($N58-AF$1)^2+($O58-AG$1)^2)</f>
        <v>1.8551426706426335</v>
      </c>
      <c r="T58">
        <f>SQRT(($L58-AH$1)^2+($M58-AI$1)^2+($N58-AJ$1)^2+($O58-AK$1)^2)</f>
        <v>1.3556843882438681</v>
      </c>
      <c r="U58" t="str">
        <f>IF(Q58=MIN(Q58,R58,S58,T58),"Cluster 1",IF(R58=MIN(Q58,R58,S58,T58),"Cluster 2",IF(S58=MIN(Q58,R58,S58,T58),"Cluster 3","Cluster 4")))</f>
        <v>Cluster 4</v>
      </c>
    </row>
    <row r="59" spans="1:21" x14ac:dyDescent="0.3">
      <c r="A59">
        <v>58</v>
      </c>
      <c r="B59">
        <v>31</v>
      </c>
      <c r="C59">
        <v>47802.91</v>
      </c>
      <c r="D59" t="s">
        <v>8</v>
      </c>
      <c r="E59" t="s">
        <v>12</v>
      </c>
      <c r="F59" t="s">
        <v>14</v>
      </c>
      <c r="G59">
        <f>IF(F59="Low Spender",1,IF(F59="Moderate Spender",2,3))</f>
        <v>3</v>
      </c>
      <c r="H59" t="s">
        <v>16</v>
      </c>
      <c r="I59">
        <f>IF(H59="Never Engaged",1,IF(H59="Rarely Engaged",2,3))</f>
        <v>3</v>
      </c>
      <c r="J59">
        <f ca="1">RAND()</f>
        <v>0.90014167340678208</v>
      </c>
      <c r="L59">
        <f>(B59-B$103)/B$104</f>
        <v>-0.70617736148040966</v>
      </c>
      <c r="M59">
        <f>(C59-C$103)/C$104</f>
        <v>-0.21547290942953209</v>
      </c>
      <c r="N59">
        <f>(G59-G$103)/G$104</f>
        <v>1.1869565217391307</v>
      </c>
      <c r="O59">
        <f>(I59-I$103)/I$104</f>
        <v>0.98128462539886296</v>
      </c>
      <c r="Q59">
        <f>SQRT(($L59-V$1)^2+($M59-W$1)^2+($N59-X$1)^2+($O59-Y$1)^2)</f>
        <v>1.4581475110239897</v>
      </c>
      <c r="R59">
        <f>SQRT(($L59-Z$1)^2+($M59-AA$1)^2+($N59-AB$1)^2+($O59-AC$1)^2)</f>
        <v>4.0760526938398405</v>
      </c>
      <c r="S59">
        <f>SQRT(($L59-AD$1)^2+($M59-AE$1)^2+($N59-AF$1)^2+($O59-AG$1)^2)</f>
        <v>1.6022788063654541</v>
      </c>
      <c r="T59">
        <f>SQRT(($L59-AH$1)^2+($M59-AI$1)^2+($N59-AJ$1)^2+($O59-AK$1)^2)</f>
        <v>2.6002105708491237</v>
      </c>
      <c r="U59" t="str">
        <f>IF(Q59=MIN(Q59,R59,S59,T59),"Cluster 1",IF(R59=MIN(Q59,R59,S59,T59),"Cluster 2",IF(S59=MIN(Q59,R59,S59,T59),"Cluster 3","Cluster 4")))</f>
        <v>Cluster 1</v>
      </c>
    </row>
    <row r="60" spans="1:21" x14ac:dyDescent="0.3">
      <c r="A60">
        <v>59</v>
      </c>
      <c r="B60">
        <v>34</v>
      </c>
      <c r="C60">
        <v>37309.74</v>
      </c>
      <c r="D60" t="s">
        <v>7</v>
      </c>
      <c r="E60" t="s">
        <v>12</v>
      </c>
      <c r="F60" t="s">
        <v>14</v>
      </c>
      <c r="G60">
        <f>IF(F60="Low Spender",1,IF(F60="Moderate Spender",2,3))</f>
        <v>3</v>
      </c>
      <c r="H60" t="s">
        <v>17</v>
      </c>
      <c r="I60">
        <f>IF(H60="Never Engaged",1,IF(H60="Rarely Engaged",2,3))</f>
        <v>1</v>
      </c>
      <c r="J60">
        <f ca="1">RAND()</f>
        <v>0.936087636384341</v>
      </c>
      <c r="L60">
        <f>(B60-B$103)/B$104</f>
        <v>-0.49175103714425294</v>
      </c>
      <c r="M60">
        <f>(C60-C$103)/C$104</f>
        <v>-0.9166142189481894</v>
      </c>
      <c r="N60">
        <f>(G60-G$103)/G$104</f>
        <v>1.1869565217391307</v>
      </c>
      <c r="O60">
        <f>(I60-I$103)/I$104</f>
        <v>-1.3007726429705861</v>
      </c>
      <c r="Q60">
        <f>SQRT(($L60-V$1)^2+($M60-W$1)^2+($N60-X$1)^2+($O60-Y$1)^2)</f>
        <v>1.8571419538971785</v>
      </c>
      <c r="R60">
        <f>SQRT(($L60-Z$1)^2+($M60-AA$1)^2+($N60-AB$1)^2+($O60-AC$1)^2)</f>
        <v>3.8473991131212606</v>
      </c>
      <c r="S60">
        <f>SQRT(($L60-AD$1)^2+($M60-AE$1)^2+($N60-AF$1)^2+($O60-AG$1)^2)</f>
        <v>2.7273829079781269</v>
      </c>
      <c r="T60">
        <f>SQRT(($L60-AH$1)^2+($M60-AI$1)^2+($N60-AJ$1)^2+($O60-AK$1)^2)</f>
        <v>2.3406073170499306</v>
      </c>
      <c r="U60" t="str">
        <f>IF(Q60=MIN(Q60,R60,S60,T60),"Cluster 1",IF(R60=MIN(Q60,R60,S60,T60),"Cluster 2",IF(S60=MIN(Q60,R60,S60,T60),"Cluster 3","Cluster 4")))</f>
        <v>Cluster 1</v>
      </c>
    </row>
    <row r="61" spans="1:21" x14ac:dyDescent="0.3">
      <c r="A61">
        <v>60</v>
      </c>
      <c r="B61">
        <v>53</v>
      </c>
      <c r="C61">
        <v>37662.660000000003</v>
      </c>
      <c r="D61" t="s">
        <v>8</v>
      </c>
      <c r="E61" t="s">
        <v>11</v>
      </c>
      <c r="F61" t="s">
        <v>13</v>
      </c>
      <c r="G61">
        <f>IF(F61="Low Spender",1,IF(F61="Moderate Spender",2,3))</f>
        <v>1</v>
      </c>
      <c r="H61" t="s">
        <v>17</v>
      </c>
      <c r="I61">
        <f>IF(H61="Never Engaged",1,IF(H61="Rarely Engaged",2,3))</f>
        <v>1</v>
      </c>
      <c r="J61">
        <f ca="1">RAND()</f>
        <v>0.31992832351261757</v>
      </c>
      <c r="L61">
        <f>(B61-B$103)/B$104</f>
        <v>0.86628235031807299</v>
      </c>
      <c r="M61">
        <f>(C61-C$103)/C$104</f>
        <v>-0.89303251857019794</v>
      </c>
      <c r="N61">
        <f>(G61-G$103)/G$104</f>
        <v>-1.4217391304347826</v>
      </c>
      <c r="O61">
        <f>(I61-I$103)/I$104</f>
        <v>-1.3007726429705861</v>
      </c>
      <c r="Q61">
        <f>SQRT(($L61-V$1)^2+($M61-W$1)^2+($N61-X$1)^2+($O61-Y$1)^2)</f>
        <v>3.8683271815506579</v>
      </c>
      <c r="R61">
        <f>SQRT(($L61-Z$1)^2+($M61-AA$1)^2+($N61-AB$1)^2+($O61-AC$1)^2)</f>
        <v>3.0845637386626525</v>
      </c>
      <c r="S61">
        <f>SQRT(($L61-AD$1)^2+($M61-AE$1)^2+($N61-AF$1)^2+($O61-AG$1)^2)</f>
        <v>2.7422977765017968</v>
      </c>
      <c r="T61">
        <f>SQRT(($L61-AH$1)^2+($M61-AI$1)^2+($N61-AJ$1)^2+($O61-AK$1)^2)</f>
        <v>1.7477775593834479</v>
      </c>
      <c r="U61" t="str">
        <f>IF(Q61=MIN(Q61,R61,S61,T61),"Cluster 1",IF(R61=MIN(Q61,R61,S61,T61),"Cluster 2",IF(S61=MIN(Q61,R61,S61,T61),"Cluster 3","Cluster 4")))</f>
        <v>Cluster 4</v>
      </c>
    </row>
    <row r="62" spans="1:21" x14ac:dyDescent="0.3">
      <c r="A62">
        <v>61</v>
      </c>
      <c r="B62">
        <v>57</v>
      </c>
      <c r="C62">
        <v>66300.91</v>
      </c>
      <c r="D62" t="s">
        <v>7</v>
      </c>
      <c r="E62" t="s">
        <v>9</v>
      </c>
      <c r="F62" t="s">
        <v>13</v>
      </c>
      <c r="G62">
        <f>IF(F62="Low Spender",1,IF(F62="Moderate Spender",2,3))</f>
        <v>1</v>
      </c>
      <c r="H62" t="s">
        <v>18</v>
      </c>
      <c r="I62">
        <f>IF(H62="Never Engaged",1,IF(H62="Rarely Engaged",2,3))</f>
        <v>2</v>
      </c>
      <c r="J62">
        <f ca="1">RAND()</f>
        <v>0.83831033856723935</v>
      </c>
      <c r="L62">
        <f>(B62-B$103)/B$104</f>
        <v>1.1521841160996154</v>
      </c>
      <c r="M62">
        <f>(C62-C$103)/C$104</f>
        <v>1.0205417499609206</v>
      </c>
      <c r="N62">
        <f>(G62-G$103)/G$104</f>
        <v>-1.4217391304347826</v>
      </c>
      <c r="O62">
        <f>(I62-I$103)/I$104</f>
        <v>-0.15974400878586156</v>
      </c>
      <c r="Q62">
        <f>SQRT(($L62-V$1)^2+($M62-W$1)^2+($N62-X$1)^2+($O62-Y$1)^2)</f>
        <v>3.8810899413341646</v>
      </c>
      <c r="R62">
        <f>SQRT(($L62-Z$1)^2+($M62-AA$1)^2+($N62-AB$1)^2+($O62-AC$1)^2)</f>
        <v>2.1369242498892023</v>
      </c>
      <c r="S62">
        <f>SQRT(($L62-AD$1)^2+($M62-AE$1)^2+($N62-AF$1)^2+($O62-AG$1)^2)</f>
        <v>2.5602763445390524</v>
      </c>
      <c r="T62">
        <f>SQRT(($L62-AH$1)^2+($M62-AI$1)^2+($N62-AJ$1)^2+($O62-AK$1)^2)</f>
        <v>2.3784325273420932</v>
      </c>
      <c r="U62" t="str">
        <f>IF(Q62=MIN(Q62,R62,S62,T62),"Cluster 1",IF(R62=MIN(Q62,R62,S62,T62),"Cluster 2",IF(S62=MIN(Q62,R62,S62,T62),"Cluster 3","Cluster 4")))</f>
        <v>Cluster 2</v>
      </c>
    </row>
    <row r="63" spans="1:21" x14ac:dyDescent="0.3">
      <c r="A63">
        <v>62</v>
      </c>
      <c r="B63">
        <v>21</v>
      </c>
      <c r="C63">
        <v>65074.8</v>
      </c>
      <c r="D63" t="s">
        <v>8</v>
      </c>
      <c r="E63" t="s">
        <v>11</v>
      </c>
      <c r="F63" t="s">
        <v>14</v>
      </c>
      <c r="G63">
        <f>IF(F63="Low Spender",1,IF(F63="Moderate Spender",2,3))</f>
        <v>3</v>
      </c>
      <c r="H63" t="s">
        <v>16</v>
      </c>
      <c r="I63">
        <f>IF(H63="Never Engaged",1,IF(H63="Rarely Engaged",2,3))</f>
        <v>3</v>
      </c>
      <c r="J63">
        <f ca="1">RAND()</f>
        <v>0.47637017557918881</v>
      </c>
      <c r="L63">
        <f>(B63-B$103)/B$104</f>
        <v>-1.4209317759342655</v>
      </c>
      <c r="M63">
        <f>(C63-C$103)/C$104</f>
        <v>0.93861451815071251</v>
      </c>
      <c r="N63">
        <f>(G63-G$103)/G$104</f>
        <v>1.1869565217391307</v>
      </c>
      <c r="O63">
        <f>(I63-I$103)/I$104</f>
        <v>0.98128462539886296</v>
      </c>
      <c r="Q63">
        <f>SQRT(($L63-V$1)^2+($M63-W$1)^2+($N63-X$1)^2+($O63-Y$1)^2)</f>
        <v>1.4338353671425292</v>
      </c>
      <c r="R63">
        <f>SQRT(($L63-Z$1)^2+($M63-AA$1)^2+($N63-AB$1)^2+($O63-AC$1)^2)</f>
        <v>3.7361453189956446</v>
      </c>
      <c r="S63">
        <f>SQRT(($L63-AD$1)^2+($M63-AE$1)^2+($N63-AF$1)^2+($O63-AG$1)^2)</f>
        <v>2.543505583661525</v>
      </c>
      <c r="T63">
        <f>SQRT(($L63-AH$1)^2+($M63-AI$1)^2+($N63-AJ$1)^2+($O63-AK$1)^2)</f>
        <v>3.5906852561306182</v>
      </c>
      <c r="U63" t="str">
        <f>IF(Q63=MIN(Q63,R63,S63,T63),"Cluster 1",IF(R63=MIN(Q63,R63,S63,T63),"Cluster 2",IF(S63=MIN(Q63,R63,S63,T63),"Cluster 3","Cluster 4")))</f>
        <v>Cluster 1</v>
      </c>
    </row>
    <row r="64" spans="1:21" x14ac:dyDescent="0.3">
      <c r="A64">
        <v>63</v>
      </c>
      <c r="B64">
        <v>19</v>
      </c>
      <c r="C64">
        <v>43373.51</v>
      </c>
      <c r="D64" t="s">
        <v>7</v>
      </c>
      <c r="E64" t="s">
        <v>11</v>
      </c>
      <c r="F64" t="s">
        <v>15</v>
      </c>
      <c r="G64">
        <f>IF(F64="Low Spender",1,IF(F64="Moderate Spender",2,3))</f>
        <v>2</v>
      </c>
      <c r="H64" t="s">
        <v>16</v>
      </c>
      <c r="I64">
        <f>IF(H64="Never Engaged",1,IF(H64="Rarely Engaged",2,3))</f>
        <v>3</v>
      </c>
      <c r="J64">
        <f ca="1">RAND()</f>
        <v>0.5149930660275237</v>
      </c>
      <c r="L64">
        <f>(B64-B$103)/B$104</f>
        <v>-1.5638826588250365</v>
      </c>
      <c r="M64">
        <f>(C64-C$103)/C$104</f>
        <v>-0.51144022115534427</v>
      </c>
      <c r="N64">
        <f>(G64-G$103)/G$104</f>
        <v>-0.11739130434782591</v>
      </c>
      <c r="O64">
        <f>(I64-I$103)/I$104</f>
        <v>0.98128462539886296</v>
      </c>
      <c r="Q64">
        <f>SQRT(($L64-V$1)^2+($M64-W$1)^2+($N64-X$1)^2+($O64-Y$1)^2)</f>
        <v>1.8318403268462418</v>
      </c>
      <c r="R64">
        <f>SQRT(($L64-Z$1)^2+($M64-AA$1)^2+($N64-AB$1)^2+($O64-AC$1)^2)</f>
        <v>3.752641034811238</v>
      </c>
      <c r="S64">
        <f>SQRT(($L64-AD$1)^2+($M64-AE$1)^2+($N64-AF$1)^2+($O64-AG$1)^2)</f>
        <v>1.7166425988713614</v>
      </c>
      <c r="T64">
        <f>SQRT(($L64-AH$1)^2+($M64-AI$1)^2+($N64-AJ$1)^2+($O64-AK$1)^2)</f>
        <v>2.9160568000662486</v>
      </c>
      <c r="U64" t="str">
        <f>IF(Q64=MIN(Q64,R64,S64,T64),"Cluster 1",IF(R64=MIN(Q64,R64,S64,T64),"Cluster 2",IF(S64=MIN(Q64,R64,S64,T64),"Cluster 3","Cluster 4")))</f>
        <v>Cluster 3</v>
      </c>
    </row>
    <row r="65" spans="1:21" x14ac:dyDescent="0.3">
      <c r="A65">
        <v>64</v>
      </c>
      <c r="B65">
        <v>23</v>
      </c>
      <c r="C65">
        <v>48737.52</v>
      </c>
      <c r="D65" t="s">
        <v>7</v>
      </c>
      <c r="E65" t="s">
        <v>10</v>
      </c>
      <c r="F65" t="s">
        <v>14</v>
      </c>
      <c r="G65">
        <f>IF(F65="Low Spender",1,IF(F65="Moderate Spender",2,3))</f>
        <v>3</v>
      </c>
      <c r="H65" t="s">
        <v>17</v>
      </c>
      <c r="I65">
        <f>IF(H65="Never Engaged",1,IF(H65="Rarely Engaged",2,3))</f>
        <v>1</v>
      </c>
      <c r="J65">
        <f ca="1">RAND()</f>
        <v>0.5588114894421734</v>
      </c>
      <c r="L65">
        <f>(B65-B$103)/B$104</f>
        <v>-1.2779808930434944</v>
      </c>
      <c r="M65">
        <f>(C65-C$103)/C$104</f>
        <v>-0.1530233656511289</v>
      </c>
      <c r="N65">
        <f>(G65-G$103)/G$104</f>
        <v>1.1869565217391307</v>
      </c>
      <c r="O65">
        <f>(I65-I$103)/I$104</f>
        <v>-1.3007726429705861</v>
      </c>
      <c r="Q65">
        <f>SQRT(($L65-V$1)^2+($M65-W$1)^2+($N65-X$1)^2+($O65-Y$1)^2)</f>
        <v>1.1995835169738549</v>
      </c>
      <c r="R65">
        <f>SQRT(($L65-Z$1)^2+($M65-AA$1)^2+($N65-AB$1)^2+($O65-AC$1)^2)</f>
        <v>3.4349261394361177</v>
      </c>
      <c r="S65">
        <f>SQRT(($L65-AD$1)^2+($M65-AE$1)^2+($N65-AF$1)^2+($O65-AG$1)^2)</f>
        <v>3.0219046098939728</v>
      </c>
      <c r="T65">
        <f>SQRT(($L65-AH$1)^2+($M65-AI$1)^2+($N65-AJ$1)^2+($O65-AK$1)^2)</f>
        <v>3.0379796995958777</v>
      </c>
      <c r="U65" t="str">
        <f>IF(Q65=MIN(Q65,R65,S65,T65),"Cluster 1",IF(R65=MIN(Q65,R65,S65,T65),"Cluster 2",IF(S65=MIN(Q65,R65,S65,T65),"Cluster 3","Cluster 4")))</f>
        <v>Cluster 1</v>
      </c>
    </row>
    <row r="66" spans="1:21" x14ac:dyDescent="0.3">
      <c r="A66">
        <v>65</v>
      </c>
      <c r="B66">
        <v>59</v>
      </c>
      <c r="C66">
        <v>68555.240000000005</v>
      </c>
      <c r="D66" t="s">
        <v>7</v>
      </c>
      <c r="E66" t="s">
        <v>12</v>
      </c>
      <c r="F66" t="s">
        <v>13</v>
      </c>
      <c r="G66">
        <f>IF(F66="Low Spender",1,IF(F66="Moderate Spender",2,3))</f>
        <v>1</v>
      </c>
      <c r="H66" t="s">
        <v>16</v>
      </c>
      <c r="I66">
        <f>IF(H66="Never Engaged",1,IF(H66="Rarely Engaged",2,3))</f>
        <v>3</v>
      </c>
      <c r="J66">
        <f ca="1">RAND()</f>
        <v>0.90789343530284006</v>
      </c>
      <c r="L66">
        <f>(B66-B$103)/B$104</f>
        <v>1.2951349989903864</v>
      </c>
      <c r="M66">
        <f>(C66-C$103)/C$104</f>
        <v>1.1711734359325758</v>
      </c>
      <c r="N66">
        <f>(G66-G$103)/G$104</f>
        <v>-1.4217391304347826</v>
      </c>
      <c r="O66">
        <f>(I66-I$103)/I$104</f>
        <v>0.98128462539886296</v>
      </c>
      <c r="Q66">
        <f>SQRT(($L66-V$1)^2+($M66-W$1)^2+($N66-X$1)^2+($O66-Y$1)^2)</f>
        <v>4.1793727521769002</v>
      </c>
      <c r="R66">
        <f>SQRT(($L66-Z$1)^2+($M66-AA$1)^2+($N66-AB$1)^2+($O66-AC$1)^2)</f>
        <v>2.9490494718044666</v>
      </c>
      <c r="S66">
        <f>SQRT(($L66-AD$1)^2+($M66-AE$1)^2+($N66-AF$1)^2+($O66-AG$1)^2)</f>
        <v>2.4623977488422422</v>
      </c>
      <c r="T66">
        <f>SQRT(($L66-AH$1)^2+($M66-AI$1)^2+($N66-AJ$1)^2+($O66-AK$1)^2)</f>
        <v>2.7606584638828777</v>
      </c>
      <c r="U66" t="str">
        <f>IF(Q66=MIN(Q66,R66,S66,T66),"Cluster 1",IF(R66=MIN(Q66,R66,S66,T66),"Cluster 2",IF(S66=MIN(Q66,R66,S66,T66),"Cluster 3","Cluster 4")))</f>
        <v>Cluster 3</v>
      </c>
    </row>
    <row r="67" spans="1:21" x14ac:dyDescent="0.3">
      <c r="A67">
        <v>66</v>
      </c>
      <c r="B67">
        <v>21</v>
      </c>
      <c r="C67">
        <v>28602.82</v>
      </c>
      <c r="D67" t="s">
        <v>7</v>
      </c>
      <c r="E67" t="s">
        <v>9</v>
      </c>
      <c r="F67" t="s">
        <v>13</v>
      </c>
      <c r="G67">
        <f>IF(F67="Low Spender",1,IF(F67="Moderate Spender",2,3))</f>
        <v>1</v>
      </c>
      <c r="H67" t="s">
        <v>17</v>
      </c>
      <c r="I67">
        <f>IF(H67="Never Engaged",1,IF(H67="Rarely Engaged",2,3))</f>
        <v>1</v>
      </c>
      <c r="J67">
        <f ca="1">RAND()</f>
        <v>0.44076769221492773</v>
      </c>
      <c r="L67">
        <f>(B67-B$103)/B$104</f>
        <v>-1.4209317759342655</v>
      </c>
      <c r="M67">
        <f>(C67-C$103)/C$104</f>
        <v>-1.4984003989752148</v>
      </c>
      <c r="N67">
        <f>(G67-G$103)/G$104</f>
        <v>-1.4217391304347826</v>
      </c>
      <c r="O67">
        <f>(I67-I$103)/I$104</f>
        <v>-1.3007726429705861</v>
      </c>
      <c r="Q67">
        <f>SQRT(($L67-V$1)^2+($M67-W$1)^2+($N67-X$1)^2+($O67-Y$1)^2)</f>
        <v>3.2597342253913357</v>
      </c>
      <c r="R67">
        <f>SQRT(($L67-Z$1)^2+($M67-AA$1)^2+($N67-AB$1)^2+($O67-AC$1)^2)</f>
        <v>3.5526491392054211</v>
      </c>
      <c r="S67">
        <f>SQRT(($L67-AD$1)^2+($M67-AE$1)^2+($N67-AF$1)^2+($O67-AG$1)^2)</f>
        <v>3.1987031574846343</v>
      </c>
      <c r="T67">
        <f>SQRT(($L67-AH$1)^2+($M67-AI$1)^2+($N67-AJ$1)^2+($O67-AK$1)^2)</f>
        <v>3.0893058937401658</v>
      </c>
      <c r="U67" t="str">
        <f>IF(Q67=MIN(Q67,R67,S67,T67),"Cluster 1",IF(R67=MIN(Q67,R67,S67,T67),"Cluster 2",IF(S67=MIN(Q67,R67,S67,T67),"Cluster 3","Cluster 4")))</f>
        <v>Cluster 4</v>
      </c>
    </row>
    <row r="68" spans="1:21" x14ac:dyDescent="0.3">
      <c r="A68">
        <v>67</v>
      </c>
      <c r="B68">
        <v>46</v>
      </c>
      <c r="C68">
        <v>55070.34</v>
      </c>
      <c r="D68" t="s">
        <v>7</v>
      </c>
      <c r="E68" t="s">
        <v>10</v>
      </c>
      <c r="F68" t="s">
        <v>15</v>
      </c>
      <c r="G68">
        <f>IF(F68="Low Spender",1,IF(F68="Moderate Spender",2,3))</f>
        <v>2</v>
      </c>
      <c r="H68" t="s">
        <v>16</v>
      </c>
      <c r="I68">
        <f>IF(H68="Never Engaged",1,IF(H68="Rarely Engaged",2,3))</f>
        <v>3</v>
      </c>
      <c r="J68">
        <f ca="1">RAND()</f>
        <v>7.5505594743803806E-2</v>
      </c>
      <c r="L68">
        <f>(B68-B$103)/B$104</f>
        <v>0.36595426020037397</v>
      </c>
      <c r="M68">
        <f>(C68-C$103)/C$104</f>
        <v>0.27012823751035053</v>
      </c>
      <c r="N68">
        <f>(G68-G$103)/G$104</f>
        <v>-0.11739130434782591</v>
      </c>
      <c r="O68">
        <f>(I68-I$103)/I$104</f>
        <v>0.98128462539886296</v>
      </c>
      <c r="Q68">
        <f>SQRT(($L68-V$1)^2+($M68-W$1)^2+($N68-X$1)^2+($O68-Y$1)^2)</f>
        <v>2.6005517880490938</v>
      </c>
      <c r="R68">
        <f>SQRT(($L68-Z$1)^2+($M68-AA$1)^2+($N68-AB$1)^2+($O68-AC$1)^2)</f>
        <v>3.1965289590017467</v>
      </c>
      <c r="S68">
        <f>SQRT(($L68-AD$1)^2+($M68-AE$1)^2+($N68-AF$1)^2+($O68-AG$1)^2)</f>
        <v>0.87332687252581842</v>
      </c>
      <c r="T68">
        <f>SQRT(($L68-AH$1)^2+($M68-AI$1)^2+($N68-AJ$1)^2+($O68-AK$1)^2)</f>
        <v>1.8285029247752838</v>
      </c>
      <c r="U68" t="str">
        <f>IF(Q68=MIN(Q68,R68,S68,T68),"Cluster 1",IF(R68=MIN(Q68,R68,S68,T68),"Cluster 2",IF(S68=MIN(Q68,R68,S68,T68),"Cluster 3","Cluster 4")))</f>
        <v>Cluster 3</v>
      </c>
    </row>
    <row r="69" spans="1:21" x14ac:dyDescent="0.3">
      <c r="A69">
        <v>68</v>
      </c>
      <c r="B69">
        <v>35</v>
      </c>
      <c r="C69">
        <v>79618.570000000007</v>
      </c>
      <c r="D69" t="s">
        <v>8</v>
      </c>
      <c r="E69" t="s">
        <v>11</v>
      </c>
      <c r="F69" t="s">
        <v>13</v>
      </c>
      <c r="G69">
        <f>IF(F69="Low Spender",1,IF(F69="Moderate Spender",2,3))</f>
        <v>1</v>
      </c>
      <c r="H69" t="s">
        <v>17</v>
      </c>
      <c r="I69">
        <f>IF(H69="Never Engaged",1,IF(H69="Rarely Engaged",2,3))</f>
        <v>1</v>
      </c>
      <c r="J69">
        <f ca="1">RAND()</f>
        <v>0.48838499356845244</v>
      </c>
      <c r="L69">
        <f>(B69-B$103)/B$104</f>
        <v>-0.42027559569886735</v>
      </c>
      <c r="M69">
        <f>(C69-C$103)/C$104</f>
        <v>1.910412167777866</v>
      </c>
      <c r="N69">
        <f>(G69-G$103)/G$104</f>
        <v>-1.4217391304347826</v>
      </c>
      <c r="O69">
        <f>(I69-I$103)/I$104</f>
        <v>-1.3007726429705861</v>
      </c>
      <c r="Q69">
        <f>SQRT(($L69-V$1)^2+($M69-W$1)^2+($N69-X$1)^2+($O69-Y$1)^2)</f>
        <v>3.5717722919911874</v>
      </c>
      <c r="R69">
        <f>SQRT(($L69-Z$1)^2+($M69-AA$1)^2+($N69-AB$1)^2+($O69-AC$1)^2)</f>
        <v>6.6613381477509392E-16</v>
      </c>
      <c r="S69">
        <f>SQRT(($L69-AD$1)^2+($M69-AE$1)^2+($N69-AF$1)^2+($O69-AG$1)^2)</f>
        <v>3.6634176790058866</v>
      </c>
      <c r="T69">
        <f>SQRT(($L69-AH$1)^2+($M69-AI$1)^2+($N69-AJ$1)^2+($O69-AK$1)^2)</f>
        <v>3.679129654012451</v>
      </c>
      <c r="U69" t="str">
        <f>IF(Q69=MIN(Q69,R69,S69,T69),"Cluster 1",IF(R69=MIN(Q69,R69,S69,T69),"Cluster 2",IF(S69=MIN(Q69,R69,S69,T69),"Cluster 3","Cluster 4")))</f>
        <v>Cluster 2</v>
      </c>
    </row>
    <row r="70" spans="1:21" x14ac:dyDescent="0.3">
      <c r="A70">
        <v>69</v>
      </c>
      <c r="B70">
        <v>43</v>
      </c>
      <c r="C70">
        <v>79475.520000000004</v>
      </c>
      <c r="D70" t="s">
        <v>8</v>
      </c>
      <c r="E70" t="s">
        <v>12</v>
      </c>
      <c r="F70" t="s">
        <v>14</v>
      </c>
      <c r="G70">
        <f>IF(F70="Low Spender",1,IF(F70="Moderate Spender",2,3))</f>
        <v>3</v>
      </c>
      <c r="H70" t="s">
        <v>16</v>
      </c>
      <c r="I70">
        <f>IF(H70="Never Engaged",1,IF(H70="Rarely Engaged",2,3))</f>
        <v>3</v>
      </c>
      <c r="J70">
        <f ca="1">RAND()</f>
        <v>0.35038702685233436</v>
      </c>
      <c r="L70">
        <f>(B70-B$103)/B$104</f>
        <v>0.15152793586421723</v>
      </c>
      <c r="M70">
        <f>(C70-C$103)/C$104</f>
        <v>1.9008537345945054</v>
      </c>
      <c r="N70">
        <f>(G70-G$103)/G$104</f>
        <v>1.1869565217391307</v>
      </c>
      <c r="O70">
        <f>(I70-I$103)/I$104</f>
        <v>0.98128462539886296</v>
      </c>
      <c r="Q70">
        <f>SQRT(($L70-V$1)^2+($M70-W$1)^2+($N70-X$1)^2+($O70-Y$1)^2)</f>
        <v>2.7481269505702777</v>
      </c>
      <c r="R70">
        <f>SQRT(($L70-Z$1)^2+($M70-AA$1)^2+($N70-AB$1)^2+($O70-AC$1)^2)</f>
        <v>3.5128519786836803</v>
      </c>
      <c r="S70">
        <f>SQRT(($L70-AD$1)^2+($M70-AE$1)^2+($N70-AF$1)^2+($O70-AG$1)^2)</f>
        <v>2.7997204305301446</v>
      </c>
      <c r="T70">
        <f>SQRT(($L70-AH$1)^2+($M70-AI$1)^2+($N70-AJ$1)^2+($O70-AK$1)^2)</f>
        <v>3.477283629004511</v>
      </c>
      <c r="U70" t="str">
        <f>IF(Q70=MIN(Q70,R70,S70,T70),"Cluster 1",IF(R70=MIN(Q70,R70,S70,T70),"Cluster 2",IF(S70=MIN(Q70,R70,S70,T70),"Cluster 3","Cluster 4")))</f>
        <v>Cluster 1</v>
      </c>
    </row>
    <row r="71" spans="1:21" x14ac:dyDescent="0.3">
      <c r="A71">
        <v>70</v>
      </c>
      <c r="B71">
        <v>61</v>
      </c>
      <c r="C71">
        <v>20901.330000000002</v>
      </c>
      <c r="D71" t="s">
        <v>8</v>
      </c>
      <c r="E71" t="s">
        <v>10</v>
      </c>
      <c r="F71" t="s">
        <v>15</v>
      </c>
      <c r="G71">
        <f>IF(F71="Low Spender",1,IF(F71="Moderate Spender",2,3))</f>
        <v>2</v>
      </c>
      <c r="H71" t="s">
        <v>18</v>
      </c>
      <c r="I71">
        <f>IF(H71="Never Engaged",1,IF(H71="Rarely Engaged",2,3))</f>
        <v>2</v>
      </c>
      <c r="J71">
        <f ca="1">RAND()</f>
        <v>0.84475483077656621</v>
      </c>
      <c r="L71">
        <f>(B71-B$103)/B$104</f>
        <v>1.4380858818811577</v>
      </c>
      <c r="M71">
        <f>(C71-C$103)/C$104</f>
        <v>-2.0130049259050979</v>
      </c>
      <c r="N71">
        <f>(G71-G$103)/G$104</f>
        <v>-0.11739130434782591</v>
      </c>
      <c r="O71">
        <f>(I71-I$103)/I$104</f>
        <v>-0.15974400878586156</v>
      </c>
      <c r="Q71">
        <f>SQRT(($L71-V$1)^2+($M71-W$1)^2+($N71-X$1)^2+($O71-Y$1)^2)</f>
        <v>3.8862428200935319</v>
      </c>
      <c r="R71">
        <f>SQRT(($L71-Z$1)^2+($M71-AA$1)^2+($N71-AB$1)^2+($O71-AC$1)^2)</f>
        <v>4.6743960751956299</v>
      </c>
      <c r="S71">
        <f>SQRT(($L71-AD$1)^2+($M71-AE$1)^2+($N71-AF$1)^2+($O71-AG$1)^2)</f>
        <v>2.2407192682551544</v>
      </c>
      <c r="T71">
        <f>SQRT(($L71-AH$1)^2+($M71-AI$1)^2+($N71-AJ$1)^2+($O71-AK$1)^2)</f>
        <v>1.1053263387967602</v>
      </c>
      <c r="U71" t="str">
        <f>IF(Q71=MIN(Q71,R71,S71,T71),"Cluster 1",IF(R71=MIN(Q71,R71,S71,T71),"Cluster 2",IF(S71=MIN(Q71,R71,S71,T71),"Cluster 3","Cluster 4")))</f>
        <v>Cluster 4</v>
      </c>
    </row>
    <row r="72" spans="1:21" x14ac:dyDescent="0.3">
      <c r="A72">
        <v>71</v>
      </c>
      <c r="B72">
        <v>51</v>
      </c>
      <c r="C72">
        <v>38560.6</v>
      </c>
      <c r="D72" t="s">
        <v>7</v>
      </c>
      <c r="E72" t="s">
        <v>12</v>
      </c>
      <c r="F72" t="s">
        <v>14</v>
      </c>
      <c r="G72">
        <f>IF(F72="Low Spender",1,IF(F72="Moderate Spender",2,3))</f>
        <v>3</v>
      </c>
      <c r="H72" t="s">
        <v>16</v>
      </c>
      <c r="I72">
        <f>IF(H72="Never Engaged",1,IF(H72="Rarely Engaged",2,3))</f>
        <v>3</v>
      </c>
      <c r="J72">
        <f ca="1">RAND()</f>
        <v>0.21072909007758667</v>
      </c>
      <c r="L72">
        <f>(B72-B$103)/B$104</f>
        <v>0.72333146742730181</v>
      </c>
      <c r="M72">
        <f>(C72-C$103)/C$104</f>
        <v>-0.83303322117301681</v>
      </c>
      <c r="N72">
        <f>(G72-G$103)/G$104</f>
        <v>1.1869565217391307</v>
      </c>
      <c r="O72">
        <f>(I72-I$103)/I$104</f>
        <v>0.98128462539886296</v>
      </c>
      <c r="Q72">
        <f>SQRT(($L72-V$1)^2+($M72-W$1)^2+($N72-X$1)^2+($O72-Y$1)^2)</f>
        <v>2.714937572768255</v>
      </c>
      <c r="R72">
        <f>SQRT(($L72-Z$1)^2+($M72-AA$1)^2+($N72-AB$1)^2+($O72-AC$1)^2)</f>
        <v>4.5658961988613829</v>
      </c>
      <c r="S72">
        <f>SQRT(($L72-AD$1)^2+($M72-AE$1)^2+($N72-AF$1)^2+($O72-AG$1)^2)</f>
        <v>1.4471038174927364</v>
      </c>
      <c r="T72">
        <f>SQRT(($L72-AH$1)^2+($M72-AI$1)^2+($N72-AJ$1)^2+($O72-AK$1)^2)</f>
        <v>1.7745274790782397</v>
      </c>
      <c r="U72" t="str">
        <f>IF(Q72=MIN(Q72,R72,S72,T72),"Cluster 1",IF(R72=MIN(Q72,R72,S72,T72),"Cluster 2",IF(S72=MIN(Q72,R72,S72,T72),"Cluster 3","Cluster 4")))</f>
        <v>Cluster 3</v>
      </c>
    </row>
    <row r="73" spans="1:21" x14ac:dyDescent="0.3">
      <c r="A73">
        <v>72</v>
      </c>
      <c r="B73">
        <v>27</v>
      </c>
      <c r="C73">
        <v>52529.89</v>
      </c>
      <c r="D73" t="s">
        <v>8</v>
      </c>
      <c r="E73" t="s">
        <v>10</v>
      </c>
      <c r="F73" t="s">
        <v>14</v>
      </c>
      <c r="G73">
        <f>IF(F73="Low Spender",1,IF(F73="Moderate Spender",2,3))</f>
        <v>3</v>
      </c>
      <c r="H73" t="s">
        <v>16</v>
      </c>
      <c r="I73">
        <f>IF(H73="Never Engaged",1,IF(H73="Rarely Engaged",2,3))</f>
        <v>3</v>
      </c>
      <c r="J73">
        <f ca="1">RAND()</f>
        <v>0.87695875841123838</v>
      </c>
      <c r="L73">
        <f>(B73-B$103)/B$104</f>
        <v>-0.99207912726195202</v>
      </c>
      <c r="M73">
        <f>(C73-C$103)/C$104</f>
        <v>0.10037834879543692</v>
      </c>
      <c r="N73">
        <f>(G73-G$103)/G$104</f>
        <v>1.1869565217391307</v>
      </c>
      <c r="O73">
        <f>(I73-I$103)/I$104</f>
        <v>0.98128462539886296</v>
      </c>
      <c r="Q73">
        <f>SQRT(($L73-V$1)^2+($M73-W$1)^2+($N73-X$1)^2+($O73-Y$1)^2)</f>
        <v>1.2764157944897987</v>
      </c>
      <c r="R73">
        <f>SQRT(($L73-Z$1)^2+($M73-AA$1)^2+($N73-AB$1)^2+($O73-AC$1)^2)</f>
        <v>3.9517413992260475</v>
      </c>
      <c r="S73">
        <f>SQRT(($L73-AD$1)^2+($M73-AE$1)^2+($N73-AF$1)^2+($O73-AG$1)^2)</f>
        <v>1.8620628718821182</v>
      </c>
      <c r="T73">
        <f>SQRT(($L73-AH$1)^2+($M73-AI$1)^2+($N73-AJ$1)^2+($O73-AK$1)^2)</f>
        <v>2.9050156421314783</v>
      </c>
      <c r="U73" t="str">
        <f>IF(Q73=MIN(Q73,R73,S73,T73),"Cluster 1",IF(R73=MIN(Q73,R73,S73,T73),"Cluster 2",IF(S73=MIN(Q73,R73,S73,T73),"Cluster 3","Cluster 4")))</f>
        <v>Cluster 1</v>
      </c>
    </row>
    <row r="74" spans="1:21" x14ac:dyDescent="0.3">
      <c r="A74">
        <v>73</v>
      </c>
      <c r="B74">
        <v>53</v>
      </c>
      <c r="C74">
        <v>30171.85</v>
      </c>
      <c r="D74" t="s">
        <v>7</v>
      </c>
      <c r="E74" t="s">
        <v>12</v>
      </c>
      <c r="F74" t="s">
        <v>15</v>
      </c>
      <c r="G74">
        <f>IF(F74="Low Spender",1,IF(F74="Moderate Spender",2,3))</f>
        <v>2</v>
      </c>
      <c r="H74" t="s">
        <v>18</v>
      </c>
      <c r="I74">
        <f>IF(H74="Never Engaged",1,IF(H74="Rarely Engaged",2,3))</f>
        <v>2</v>
      </c>
      <c r="J74">
        <f ca="1">RAND()</f>
        <v>0.48993443317721719</v>
      </c>
      <c r="L74">
        <f>(B74-B$103)/B$104</f>
        <v>0.86628235031807299</v>
      </c>
      <c r="M74">
        <f>(C74-C$103)/C$104</f>
        <v>-1.3935596550556884</v>
      </c>
      <c r="N74">
        <f>(G74-G$103)/G$104</f>
        <v>-0.11739130434782591</v>
      </c>
      <c r="O74">
        <f>(I74-I$103)/I$104</f>
        <v>-0.15974400878586156</v>
      </c>
      <c r="Q74">
        <f>SQRT(($L74-V$1)^2+($M74-W$1)^2+($N74-X$1)^2+($O74-Y$1)^2)</f>
        <v>3.1280655399250903</v>
      </c>
      <c r="R74">
        <f>SQRT(($L74-Z$1)^2+($M74-AA$1)^2+($N74-AB$1)^2+($O74-AC$1)^2)</f>
        <v>3.9464833396309471</v>
      </c>
      <c r="S74">
        <f>SQRT(($L74-AD$1)^2+($M74-AE$1)^2+($N74-AF$1)^2+($O74-AG$1)^2)</f>
        <v>1.5749485266614327</v>
      </c>
      <c r="T74">
        <f>SQRT(($L74-AH$1)^2+($M74-AI$1)^2+($N74-AJ$1)^2+($O74-AK$1)^2)</f>
        <v>0.47737997248235325</v>
      </c>
      <c r="U74" t="str">
        <f>IF(Q74=MIN(Q74,R74,S74,T74),"Cluster 1",IF(R74=MIN(Q74,R74,S74,T74),"Cluster 2",IF(S74=MIN(Q74,R74,S74,T74),"Cluster 3","Cluster 4")))</f>
        <v>Cluster 4</v>
      </c>
    </row>
    <row r="75" spans="1:21" x14ac:dyDescent="0.3">
      <c r="A75">
        <v>74</v>
      </c>
      <c r="B75">
        <v>31</v>
      </c>
      <c r="C75">
        <v>39976.300000000003</v>
      </c>
      <c r="D75" t="s">
        <v>7</v>
      </c>
      <c r="E75" t="s">
        <v>11</v>
      </c>
      <c r="F75" t="s">
        <v>14</v>
      </c>
      <c r="G75">
        <f>IF(F75="Low Spender",1,IF(F75="Moderate Spender",2,3))</f>
        <v>3</v>
      </c>
      <c r="H75" t="s">
        <v>16</v>
      </c>
      <c r="I75">
        <f>IF(H75="Never Engaged",1,IF(H75="Rarely Engaged",2,3))</f>
        <v>3</v>
      </c>
      <c r="J75">
        <f ca="1">RAND()</f>
        <v>0.27816404348293033</v>
      </c>
      <c r="L75">
        <f>(B75-B$103)/B$104</f>
        <v>-0.70617736148040966</v>
      </c>
      <c r="M75">
        <f>(C75-C$103)/C$104</f>
        <v>-0.73843780797704595</v>
      </c>
      <c r="N75">
        <f>(G75-G$103)/G$104</f>
        <v>1.1869565217391307</v>
      </c>
      <c r="O75">
        <f>(I75-I$103)/I$104</f>
        <v>0.98128462539886296</v>
      </c>
      <c r="Q75">
        <f>SQRT(($L75-V$1)^2+($M75-W$1)^2+($N75-X$1)^2+($O75-Y$1)^2)</f>
        <v>1.6465104831136528</v>
      </c>
      <c r="R75">
        <f>SQRT(($L75-Z$1)^2+($M75-AA$1)^2+($N75-AB$1)^2+($O75-AC$1)^2)</f>
        <v>4.3716386396319074</v>
      </c>
      <c r="S75">
        <f>SQRT(($L75-AD$1)^2+($M75-AE$1)^2+($N75-AF$1)^2+($O75-AG$1)^2)</f>
        <v>1.5694637984737336</v>
      </c>
      <c r="T75">
        <f>SQRT(($L75-AH$1)^2+($M75-AI$1)^2+($N75-AJ$1)^2+($O75-AK$1)^2)</f>
        <v>2.4996986806277932</v>
      </c>
      <c r="U75" t="str">
        <f>IF(Q75=MIN(Q75,R75,S75,T75),"Cluster 1",IF(R75=MIN(Q75,R75,S75,T75),"Cluster 2",IF(S75=MIN(Q75,R75,S75,T75),"Cluster 3","Cluster 4")))</f>
        <v>Cluster 3</v>
      </c>
    </row>
    <row r="76" spans="1:21" x14ac:dyDescent="0.3">
      <c r="A76">
        <v>75</v>
      </c>
      <c r="B76">
        <v>48</v>
      </c>
      <c r="C76">
        <v>47940.63</v>
      </c>
      <c r="D76" t="s">
        <v>8</v>
      </c>
      <c r="E76" t="s">
        <v>9</v>
      </c>
      <c r="F76" t="s">
        <v>13</v>
      </c>
      <c r="G76">
        <f>IF(F76="Low Spender",1,IF(F76="Moderate Spender",2,3))</f>
        <v>1</v>
      </c>
      <c r="H76" t="s">
        <v>18</v>
      </c>
      <c r="I76">
        <f>IF(H76="Never Engaged",1,IF(H76="Rarely Engaged",2,3))</f>
        <v>2</v>
      </c>
      <c r="J76">
        <f ca="1">RAND()</f>
        <v>0.47668180019222894</v>
      </c>
      <c r="L76">
        <f>(B76-B$103)/B$104</f>
        <v>0.5089051430911451</v>
      </c>
      <c r="M76">
        <f>(C76-C$103)/C$104</f>
        <v>-0.20627062059337437</v>
      </c>
      <c r="N76">
        <f>(G76-G$103)/G$104</f>
        <v>-1.4217391304347826</v>
      </c>
      <c r="O76">
        <f>(I76-I$103)/I$104</f>
        <v>-0.15974400878586156</v>
      </c>
      <c r="Q76">
        <f>SQRT(($L76-V$1)^2+($M76-W$1)^2+($N76-X$1)^2+($O76-Y$1)^2)</f>
        <v>3.3443891023277872</v>
      </c>
      <c r="R76">
        <f>SQRT(($L76-Z$1)^2+($M76-AA$1)^2+($N76-AB$1)^2+($O76-AC$1)^2)</f>
        <v>2.577919551877998</v>
      </c>
      <c r="S76">
        <f>SQRT(($L76-AD$1)^2+($M76-AE$1)^2+($N76-AF$1)^2+($O76-AG$1)^2)</f>
        <v>1.8077700100420431</v>
      </c>
      <c r="T76">
        <f>SQRT(($L76-AH$1)^2+($M76-AI$1)^2+($N76-AJ$1)^2+($O76-AK$1)^2)</f>
        <v>1.6146403092769166</v>
      </c>
      <c r="U76" t="str">
        <f>IF(Q76=MIN(Q76,R76,S76,T76),"Cluster 1",IF(R76=MIN(Q76,R76,S76,T76),"Cluster 2",IF(S76=MIN(Q76,R76,S76,T76),"Cluster 3","Cluster 4")))</f>
        <v>Cluster 4</v>
      </c>
    </row>
    <row r="77" spans="1:21" x14ac:dyDescent="0.3">
      <c r="A77">
        <v>76</v>
      </c>
      <c r="B77">
        <v>32</v>
      </c>
      <c r="C77">
        <v>71019.820000000007</v>
      </c>
      <c r="D77" t="s">
        <v>8</v>
      </c>
      <c r="E77" t="s">
        <v>11</v>
      </c>
      <c r="F77" t="s">
        <v>14</v>
      </c>
      <c r="G77">
        <f>IF(F77="Low Spender",1,IF(F77="Moderate Spender",2,3))</f>
        <v>3</v>
      </c>
      <c r="H77" t="s">
        <v>16</v>
      </c>
      <c r="I77">
        <f>IF(H77="Never Engaged",1,IF(H77="Rarely Engaged",2,3))</f>
        <v>3</v>
      </c>
      <c r="J77">
        <f ca="1">RAND()</f>
        <v>8.4617576637623371E-3</v>
      </c>
      <c r="L77">
        <f>(B77-B$103)/B$104</f>
        <v>-0.63470192003502413</v>
      </c>
      <c r="M77">
        <f>(C77-C$103)/C$104</f>
        <v>1.3358537802530712</v>
      </c>
      <c r="N77">
        <f>(G77-G$103)/G$104</f>
        <v>1.1869565217391307</v>
      </c>
      <c r="O77">
        <f>(I77-I$103)/I$104</f>
        <v>0.98128462539886296</v>
      </c>
      <c r="Q77">
        <f>SQRT(($L77-V$1)^2+($M77-W$1)^2+($N77-X$1)^2+($O77-Y$1)^2)</f>
        <v>1.9331461505587819</v>
      </c>
      <c r="R77">
        <f>SQRT(($L77-Z$1)^2+($M77-AA$1)^2+($N77-AB$1)^2+($O77-AC$1)^2)</f>
        <v>3.519825900670702</v>
      </c>
      <c r="S77">
        <f>SQRT(($L77-AD$1)^2+($M77-AE$1)^2+($N77-AF$1)^2+($O77-AG$1)^2)</f>
        <v>2.444677109000136</v>
      </c>
      <c r="T77">
        <f>SQRT(($L77-AH$1)^2+($M77-AI$1)^2+($N77-AJ$1)^2+($O77-AK$1)^2)</f>
        <v>3.3539909669584573</v>
      </c>
      <c r="U77" t="str">
        <f>IF(Q77=MIN(Q77,R77,S77,T77),"Cluster 1",IF(R77=MIN(Q77,R77,S77,T77),"Cluster 2",IF(S77=MIN(Q77,R77,S77,T77),"Cluster 3","Cluster 4")))</f>
        <v>Cluster 1</v>
      </c>
    </row>
    <row r="78" spans="1:21" x14ac:dyDescent="0.3">
      <c r="A78">
        <v>77</v>
      </c>
      <c r="B78">
        <v>25</v>
      </c>
      <c r="C78">
        <v>49318.96</v>
      </c>
      <c r="D78" t="s">
        <v>7</v>
      </c>
      <c r="E78" t="s">
        <v>9</v>
      </c>
      <c r="F78" t="s">
        <v>15</v>
      </c>
      <c r="G78">
        <f>IF(F78="Low Spender",1,IF(F78="Moderate Spender",2,3))</f>
        <v>2</v>
      </c>
      <c r="H78" t="s">
        <v>17</v>
      </c>
      <c r="I78">
        <f>IF(H78="Never Engaged",1,IF(H78="Rarely Engaged",2,3))</f>
        <v>1</v>
      </c>
      <c r="J78">
        <f ca="1">RAND()</f>
        <v>0.93213007504472267</v>
      </c>
      <c r="L78">
        <f>(B78-B$103)/B$104</f>
        <v>-1.1350300101527231</v>
      </c>
      <c r="M78">
        <f>(C78-C$103)/C$104</f>
        <v>-0.11417222695743294</v>
      </c>
      <c r="N78">
        <f>(G78-G$103)/G$104</f>
        <v>-0.11739130434782591</v>
      </c>
      <c r="O78">
        <f>(I78-I$103)/I$104</f>
        <v>-1.3007726429705861</v>
      </c>
      <c r="Q78">
        <f>SQRT(($L78-V$1)^2+($M78-W$1)^2+($N78-X$1)^2+($O78-Y$1)^2)</f>
        <v>1.7960326371401218</v>
      </c>
      <c r="R78">
        <f>SQRT(($L78-Z$1)^2+($M78-AA$1)^2+($N78-AB$1)^2+($O78-AC$1)^2)</f>
        <v>2.5121980606243484</v>
      </c>
      <c r="S78">
        <f>SQRT(($L78-AD$1)^2+($M78-AE$1)^2+($N78-AF$1)^2+($O78-AG$1)^2)</f>
        <v>2.6602127576060175</v>
      </c>
      <c r="T78">
        <f>SQRT(($L78-AH$1)^2+($M78-AI$1)^2+($N78-AJ$1)^2+($O78-AK$1)^2)</f>
        <v>2.6341677533102965</v>
      </c>
      <c r="U78" t="str">
        <f>IF(Q78=MIN(Q78,R78,S78,T78),"Cluster 1",IF(R78=MIN(Q78,R78,S78,T78),"Cluster 2",IF(S78=MIN(Q78,R78,S78,T78),"Cluster 3","Cluster 4")))</f>
        <v>Cluster 1</v>
      </c>
    </row>
    <row r="79" spans="1:21" x14ac:dyDescent="0.3">
      <c r="A79">
        <v>78</v>
      </c>
      <c r="B79">
        <v>31</v>
      </c>
      <c r="C79">
        <v>53254.05</v>
      </c>
      <c r="D79" t="s">
        <v>8</v>
      </c>
      <c r="E79" t="s">
        <v>12</v>
      </c>
      <c r="F79" t="s">
        <v>15</v>
      </c>
      <c r="G79">
        <f>IF(F79="Low Spender",1,IF(F79="Moderate Spender",2,3))</f>
        <v>2</v>
      </c>
      <c r="H79" t="s">
        <v>17</v>
      </c>
      <c r="I79">
        <f>IF(H79="Never Engaged",1,IF(H79="Rarely Engaged",2,3))</f>
        <v>1</v>
      </c>
      <c r="J79">
        <f ca="1">RAND()</f>
        <v>0.76811542421747458</v>
      </c>
      <c r="L79">
        <f>(B79-B$103)/B$104</f>
        <v>-0.70617736148040966</v>
      </c>
      <c r="M79">
        <f>(C79-C$103)/C$104</f>
        <v>0.14876587045962733</v>
      </c>
      <c r="N79">
        <f>(G79-G$103)/G$104</f>
        <v>-0.11739130434782591</v>
      </c>
      <c r="O79">
        <f>(I79-I$103)/I$104</f>
        <v>-1.3007726429705861</v>
      </c>
      <c r="Q79">
        <f>SQRT(($L79-V$1)^2+($M79-W$1)^2+($N79-X$1)^2+($O79-Y$1)^2)</f>
        <v>1.9347773511179869</v>
      </c>
      <c r="R79">
        <f>SQRT(($L79-Z$1)^2+($M79-AA$1)^2+($N79-AB$1)^2+($O79-AC$1)^2)</f>
        <v>2.2105340413460794</v>
      </c>
      <c r="S79">
        <f>SQRT(($L79-AD$1)^2+($M79-AE$1)^2+($N79-AF$1)^2+($O79-AG$1)^2)</f>
        <v>2.5435024048541535</v>
      </c>
      <c r="T79">
        <f>SQRT(($L79-AH$1)^2+($M79-AI$1)^2+($N79-AJ$1)^2+($O79-AK$1)^2)</f>
        <v>2.3958185567535177</v>
      </c>
      <c r="U79" t="str">
        <f>IF(Q79=MIN(Q79,R79,S79,T79),"Cluster 1",IF(R79=MIN(Q79,R79,S79,T79),"Cluster 2",IF(S79=MIN(Q79,R79,S79,T79),"Cluster 3","Cluster 4")))</f>
        <v>Cluster 1</v>
      </c>
    </row>
    <row r="80" spans="1:21" x14ac:dyDescent="0.3">
      <c r="A80">
        <v>79</v>
      </c>
      <c r="B80">
        <v>40</v>
      </c>
      <c r="C80">
        <v>57686.36</v>
      </c>
      <c r="D80" t="s">
        <v>7</v>
      </c>
      <c r="E80" t="s">
        <v>10</v>
      </c>
      <c r="F80" t="s">
        <v>15</v>
      </c>
      <c r="G80">
        <f>IF(F80="Low Spender",1,IF(F80="Moderate Spender",2,3))</f>
        <v>2</v>
      </c>
      <c r="H80" t="s">
        <v>16</v>
      </c>
      <c r="I80">
        <f>IF(H80="Never Engaged",1,IF(H80="Rarely Engaged",2,3))</f>
        <v>3</v>
      </c>
      <c r="J80">
        <f ca="1">RAND()</f>
        <v>0.40539852362045714</v>
      </c>
      <c r="L80">
        <f>(B80-B$103)/B$104</f>
        <v>-6.2898388471939487E-2</v>
      </c>
      <c r="M80">
        <f>(C80-C$103)/C$104</f>
        <v>0.44492762497162291</v>
      </c>
      <c r="N80">
        <f>(G80-G$103)/G$104</f>
        <v>-0.11739130434782591</v>
      </c>
      <c r="O80">
        <f>(I80-I$103)/I$104</f>
        <v>0.98128462539886296</v>
      </c>
      <c r="Q80">
        <f>SQRT(($L80-V$1)^2+($M80-W$1)^2+($N80-X$1)^2+($O80-Y$1)^2)</f>
        <v>2.3211675370763398</v>
      </c>
      <c r="R80">
        <f>SQRT(($L80-Z$1)^2+($M80-AA$1)^2+($N80-AB$1)^2+($O80-AC$1)^2)</f>
        <v>3.0305893883838739</v>
      </c>
      <c r="S80">
        <f>SQRT(($L80-AD$1)^2+($M80-AE$1)^2+($N80-AF$1)^2+($O80-AG$1)^2)</f>
        <v>1.0436583882282333</v>
      </c>
      <c r="T80">
        <f>SQRT(($L80-AH$1)^2+($M80-AI$1)^2+($N80-AJ$1)^2+($O80-AK$1)^2)</f>
        <v>2.1455665880385659</v>
      </c>
      <c r="U80" t="str">
        <f>IF(Q80=MIN(Q80,R80,S80,T80),"Cluster 1",IF(R80=MIN(Q80,R80,S80,T80),"Cluster 2",IF(S80=MIN(Q80,R80,S80,T80),"Cluster 3","Cluster 4")))</f>
        <v>Cluster 3</v>
      </c>
    </row>
    <row r="81" spans="1:21" x14ac:dyDescent="0.3">
      <c r="A81">
        <v>80</v>
      </c>
      <c r="B81">
        <v>57</v>
      </c>
      <c r="C81">
        <v>58152.33</v>
      </c>
      <c r="D81" t="s">
        <v>7</v>
      </c>
      <c r="E81" t="s">
        <v>11</v>
      </c>
      <c r="F81" t="s">
        <v>14</v>
      </c>
      <c r="G81">
        <f>IF(F81="Low Spender",1,IF(F81="Moderate Spender",2,3))</f>
        <v>3</v>
      </c>
      <c r="H81" t="s">
        <v>16</v>
      </c>
      <c r="I81">
        <f>IF(H81="Never Engaged",1,IF(H81="Rarely Engaged",2,3))</f>
        <v>3</v>
      </c>
      <c r="J81">
        <f ca="1">RAND()</f>
        <v>0.39942330342727184</v>
      </c>
      <c r="L81">
        <f>(B81-B$103)/B$104</f>
        <v>1.1521841160996154</v>
      </c>
      <c r="M81">
        <f>(C81-C$103)/C$104</f>
        <v>0.47606319372695705</v>
      </c>
      <c r="N81">
        <f>(G81-G$103)/G$104</f>
        <v>1.1869565217391307</v>
      </c>
      <c r="O81">
        <f>(I81-I$103)/I$104</f>
        <v>0.98128462539886296</v>
      </c>
      <c r="Q81">
        <f>SQRT(($L81-V$1)^2+($M81-W$1)^2+($N81-X$1)^2+($O81-Y$1)^2)</f>
        <v>2.9722246512991592</v>
      </c>
      <c r="R81">
        <f>SQRT(($L81-Z$1)^2+($M81-AA$1)^2+($N81-AB$1)^2+($O81-AC$1)^2)</f>
        <v>4.0673166715144236</v>
      </c>
      <c r="S81">
        <f>SQRT(($L81-AD$1)^2+($M81-AE$1)^2+($N81-AF$1)^2+($O81-AG$1)^2)</f>
        <v>1.9520381576010779</v>
      </c>
      <c r="T81">
        <f>SQRT(($L81-AH$1)^2+($M81-AI$1)^2+($N81-AJ$1)^2+($O81-AK$1)^2)</f>
        <v>2.2563123792461548</v>
      </c>
      <c r="U81" t="str">
        <f>IF(Q81=MIN(Q81,R81,S81,T81),"Cluster 1",IF(R81=MIN(Q81,R81,S81,T81),"Cluster 2",IF(S81=MIN(Q81,R81,S81,T81),"Cluster 3","Cluster 4")))</f>
        <v>Cluster 3</v>
      </c>
    </row>
    <row r="82" spans="1:21" x14ac:dyDescent="0.3">
      <c r="A82">
        <v>81</v>
      </c>
      <c r="B82">
        <v>38</v>
      </c>
      <c r="C82">
        <v>50421.49</v>
      </c>
      <c r="D82" t="s">
        <v>7</v>
      </c>
      <c r="E82" t="s">
        <v>9</v>
      </c>
      <c r="F82" t="s">
        <v>15</v>
      </c>
      <c r="G82">
        <f>IF(F82="Low Spender",1,IF(F82="Moderate Spender",2,3))</f>
        <v>2</v>
      </c>
      <c r="H82" t="s">
        <v>16</v>
      </c>
      <c r="I82">
        <f>IF(H82="Never Engaged",1,IF(H82="Rarely Engaged",2,3))</f>
        <v>3</v>
      </c>
      <c r="J82">
        <f ca="1">RAND()</f>
        <v>0.41415542562552021</v>
      </c>
      <c r="L82">
        <f>(B82-B$103)/B$104</f>
        <v>-0.20584927136271064</v>
      </c>
      <c r="M82">
        <f>(C82-C$103)/C$104</f>
        <v>-4.0502465771480166E-2</v>
      </c>
      <c r="N82">
        <f>(G82-G$103)/G$104</f>
        <v>-0.11739130434782591</v>
      </c>
      <c r="O82">
        <f>(I82-I$103)/I$104</f>
        <v>0.98128462539886296</v>
      </c>
      <c r="Q82">
        <f>SQRT(($L82-V$1)^2+($M82-W$1)^2+($N82-X$1)^2+($O82-Y$1)^2)</f>
        <v>2.205124042927364</v>
      </c>
      <c r="R82">
        <f>SQRT(($L82-Z$1)^2+($M82-AA$1)^2+($N82-AB$1)^2+($O82-AC$1)^2)</f>
        <v>3.2804199705984134</v>
      </c>
      <c r="S82">
        <f>SQRT(($L82-AD$1)^2+($M82-AE$1)^2+($N82-AF$1)^2+($O82-AG$1)^2)</f>
        <v>0.64418551863238438</v>
      </c>
      <c r="T82">
        <f>SQRT(($L82-AH$1)^2+($M82-AI$1)^2+($N82-AJ$1)^2+($O82-AK$1)^2)</f>
        <v>1.9533721065552714</v>
      </c>
      <c r="U82" t="str">
        <f>IF(Q82=MIN(Q82,R82,S82,T82),"Cluster 1",IF(R82=MIN(Q82,R82,S82,T82),"Cluster 2",IF(S82=MIN(Q82,R82,S82,T82),"Cluster 3","Cluster 4")))</f>
        <v>Cluster 3</v>
      </c>
    </row>
    <row r="83" spans="1:21" x14ac:dyDescent="0.3">
      <c r="A83">
        <v>82</v>
      </c>
      <c r="B83">
        <v>33</v>
      </c>
      <c r="C83">
        <v>32043.69</v>
      </c>
      <c r="D83" t="s">
        <v>7</v>
      </c>
      <c r="E83" t="s">
        <v>11</v>
      </c>
      <c r="F83" t="s">
        <v>15</v>
      </c>
      <c r="G83">
        <f>IF(F83="Low Spender",1,IF(F83="Moderate Spender",2,3))</f>
        <v>2</v>
      </c>
      <c r="H83" t="s">
        <v>17</v>
      </c>
      <c r="I83">
        <f>IF(H83="Never Engaged",1,IF(H83="Rarely Engaged",2,3))</f>
        <v>1</v>
      </c>
      <c r="J83">
        <f ca="1">RAND()</f>
        <v>0.8294371602424303</v>
      </c>
      <c r="L83">
        <f>(B83-B$103)/B$104</f>
        <v>-0.56322647858963848</v>
      </c>
      <c r="M83">
        <f>(C83-C$103)/C$104</f>
        <v>-1.268485502172489</v>
      </c>
      <c r="N83">
        <f>(G83-G$103)/G$104</f>
        <v>-0.11739130434782591</v>
      </c>
      <c r="O83">
        <f>(I83-I$103)/I$104</f>
        <v>-1.3007726429705861</v>
      </c>
      <c r="Q83">
        <f>SQRT(($L83-V$1)^2+($M83-W$1)^2+($N83-X$1)^2+($O83-Y$1)^2)</f>
        <v>2.4142999476647473</v>
      </c>
      <c r="R83">
        <f>SQRT(($L83-Z$1)^2+($M83-AA$1)^2+($N83-AB$1)^2+($O83-AC$1)^2)</f>
        <v>3.4390621690153864</v>
      </c>
      <c r="S83">
        <f>SQRT(($L83-AD$1)^2+($M83-AE$1)^2+($N83-AF$1)^2+($O83-AG$1)^2)</f>
        <v>2.4894880501016248</v>
      </c>
      <c r="T83">
        <f>SQRT(($L83-AH$1)^2+($M83-AI$1)^2+($N83-AJ$1)^2+($O83-AK$1)^2)</f>
        <v>2.0236932236789253</v>
      </c>
      <c r="U83" t="str">
        <f>IF(Q83=MIN(Q83,R83,S83,T83),"Cluster 1",IF(R83=MIN(Q83,R83,S83,T83),"Cluster 2",IF(S83=MIN(Q83,R83,S83,T83),"Cluster 3","Cluster 4")))</f>
        <v>Cluster 4</v>
      </c>
    </row>
    <row r="84" spans="1:21" x14ac:dyDescent="0.3">
      <c r="A84">
        <v>83</v>
      </c>
      <c r="B84">
        <v>62</v>
      </c>
      <c r="C84">
        <v>61845.09</v>
      </c>
      <c r="D84" t="s">
        <v>7</v>
      </c>
      <c r="E84" t="s">
        <v>9</v>
      </c>
      <c r="F84" t="s">
        <v>14</v>
      </c>
      <c r="G84">
        <f>IF(F84="Low Spender",1,IF(F84="Moderate Spender",2,3))</f>
        <v>3</v>
      </c>
      <c r="H84" t="s">
        <v>16</v>
      </c>
      <c r="I84">
        <f>IF(H84="Never Engaged",1,IF(H84="Rarely Engaged",2,3))</f>
        <v>3</v>
      </c>
      <c r="J84">
        <f ca="1">RAND()</f>
        <v>0.83926352737788035</v>
      </c>
      <c r="L84">
        <f>(B84-B$103)/B$104</f>
        <v>1.5095613233265432</v>
      </c>
      <c r="M84">
        <f>(C84-C$103)/C$104</f>
        <v>0.72280908482927519</v>
      </c>
      <c r="N84">
        <f>(G84-G$103)/G$104</f>
        <v>1.1869565217391307</v>
      </c>
      <c r="O84">
        <f>(I84-I$103)/I$104</f>
        <v>0.98128462539886296</v>
      </c>
      <c r="Q84">
        <f>SQRT(($L84-V$1)^2+($M84-W$1)^2+($N84-X$1)^2+($O84-Y$1)^2)</f>
        <v>3.3404231308657528</v>
      </c>
      <c r="R84">
        <f>SQRT(($L84-Z$1)^2+($M84-AA$1)^2+($N84-AB$1)^2+($O84-AC$1)^2)</f>
        <v>4.1409841823474034</v>
      </c>
      <c r="S84">
        <f>SQRT(($L84-AD$1)^2+($M84-AE$1)^2+($N84-AF$1)^2+($O84-AG$1)^2)</f>
        <v>2.287726539453192</v>
      </c>
      <c r="T84">
        <f>SQRT(($L84-AH$1)^2+($M84-AI$1)^2+($N84-AJ$1)^2+($O84-AK$1)^2)</f>
        <v>2.4582103238957713</v>
      </c>
      <c r="U84" t="str">
        <f>IF(Q84=MIN(Q84,R84,S84,T84),"Cluster 1",IF(R84=MIN(Q84,R84,S84,T84),"Cluster 2",IF(S84=MIN(Q84,R84,S84,T84),"Cluster 3","Cluster 4")))</f>
        <v>Cluster 3</v>
      </c>
    </row>
    <row r="85" spans="1:21" x14ac:dyDescent="0.3">
      <c r="A85">
        <v>84</v>
      </c>
      <c r="B85">
        <v>35</v>
      </c>
      <c r="C85">
        <v>56472.34</v>
      </c>
      <c r="D85" t="s">
        <v>8</v>
      </c>
      <c r="E85" t="s">
        <v>11</v>
      </c>
      <c r="F85" t="s">
        <v>13</v>
      </c>
      <c r="G85">
        <f>IF(F85="Low Spender",1,IF(F85="Moderate Spender",2,3))</f>
        <v>1</v>
      </c>
      <c r="H85" t="s">
        <v>17</v>
      </c>
      <c r="I85">
        <f>IF(H85="Never Engaged",1,IF(H85="Rarely Engaged",2,3))</f>
        <v>1</v>
      </c>
      <c r="J85">
        <f ca="1">RAND()</f>
        <v>4.7463399895138814E-2</v>
      </c>
      <c r="L85">
        <f>(B85-B$103)/B$104</f>
        <v>-0.42027559569886735</v>
      </c>
      <c r="M85">
        <f>(C85-C$103)/C$104</f>
        <v>0.3638082327782397</v>
      </c>
      <c r="N85">
        <f>(G85-G$103)/G$104</f>
        <v>-1.4217391304347826</v>
      </c>
      <c r="O85">
        <f>(I85-I$103)/I$104</f>
        <v>-1.3007726429705861</v>
      </c>
      <c r="Q85">
        <f>SQRT(($L85-V$1)^2+($M85-W$1)^2+($N85-X$1)^2+($O85-Y$1)^2)</f>
        <v>3.0812981545960634</v>
      </c>
      <c r="R85">
        <f>SQRT(($L85-Z$1)^2+($M85-AA$1)^2+($N85-AB$1)^2+($O85-AC$1)^2)</f>
        <v>1.5466039349996257</v>
      </c>
      <c r="S85">
        <f>SQRT(($L85-AD$1)^2+($M85-AE$1)^2+($N85-AF$1)^2+($O85-AG$1)^2)</f>
        <v>2.8495934525124347</v>
      </c>
      <c r="T85">
        <f>SQRT(($L85-AH$1)^2+($M85-AI$1)^2+($N85-AJ$1)^2+($O85-AK$1)^2)</f>
        <v>2.650924215940603</v>
      </c>
      <c r="U85" t="str">
        <f>IF(Q85=MIN(Q85,R85,S85,T85),"Cluster 1",IF(R85=MIN(Q85,R85,S85,T85),"Cluster 2",IF(S85=MIN(Q85,R85,S85,T85),"Cluster 3","Cluster 4")))</f>
        <v>Cluster 2</v>
      </c>
    </row>
    <row r="86" spans="1:21" x14ac:dyDescent="0.3">
      <c r="A86">
        <v>85</v>
      </c>
      <c r="B86">
        <v>64</v>
      </c>
      <c r="C86">
        <v>33548.720000000001</v>
      </c>
      <c r="D86" t="s">
        <v>8</v>
      </c>
      <c r="E86" t="s">
        <v>9</v>
      </c>
      <c r="F86" t="s">
        <v>14</v>
      </c>
      <c r="G86">
        <f>IF(F86="Low Spender",1,IF(F86="Moderate Spender",2,3))</f>
        <v>3</v>
      </c>
      <c r="H86" t="s">
        <v>18</v>
      </c>
      <c r="I86">
        <f>IF(H86="Never Engaged",1,IF(H86="Rarely Engaged",2,3))</f>
        <v>2</v>
      </c>
      <c r="J86">
        <f ca="1">RAND()</f>
        <v>0.2893675225810014</v>
      </c>
      <c r="L86">
        <f>(B86-B$103)/B$104</f>
        <v>1.6525122062173143</v>
      </c>
      <c r="M86">
        <f>(C86-C$103)/C$104</f>
        <v>-1.1679211631724664</v>
      </c>
      <c r="N86">
        <f>(G86-G$103)/G$104</f>
        <v>1.1869565217391307</v>
      </c>
      <c r="O86">
        <f>(I86-I$103)/I$104</f>
        <v>-0.15974400878586156</v>
      </c>
      <c r="Q86">
        <f>SQRT(($L86-V$1)^2+($M86-W$1)^2+($N86-X$1)^2+($O86-Y$1)^2)</f>
        <v>3.4507848436819497</v>
      </c>
      <c r="R86">
        <f>SQRT(($L86-Z$1)^2+($M86-AA$1)^2+($N86-AB$1)^2+($O86-AC$1)^2)</f>
        <v>4.6775874890709224</v>
      </c>
      <c r="S86">
        <f>SQRT(($L86-AD$1)^2+($M86-AE$1)^2+($N86-AF$1)^2+($O86-AG$1)^2)</f>
        <v>2.3677083904433256</v>
      </c>
      <c r="T86">
        <f>SQRT(($L86-AH$1)^2+($M86-AI$1)^2+($N86-AJ$1)^2+($O86-AK$1)^2)</f>
        <v>1.4382742900717658</v>
      </c>
      <c r="U86" t="str">
        <f>IF(Q86=MIN(Q86,R86,S86,T86),"Cluster 1",IF(R86=MIN(Q86,R86,S86,T86),"Cluster 2",IF(S86=MIN(Q86,R86,S86,T86),"Cluster 3","Cluster 4")))</f>
        <v>Cluster 4</v>
      </c>
    </row>
    <row r="87" spans="1:21" x14ac:dyDescent="0.3">
      <c r="A87">
        <v>86</v>
      </c>
      <c r="B87">
        <v>41</v>
      </c>
      <c r="C87">
        <v>39765.480000000003</v>
      </c>
      <c r="D87" t="s">
        <v>7</v>
      </c>
      <c r="E87" t="s">
        <v>9</v>
      </c>
      <c r="F87" t="s">
        <v>15</v>
      </c>
      <c r="G87">
        <f>IF(F87="Low Spender",1,IF(F87="Moderate Spender",2,3))</f>
        <v>2</v>
      </c>
      <c r="H87" t="s">
        <v>17</v>
      </c>
      <c r="I87">
        <f>IF(H87="Never Engaged",1,IF(H87="Rarely Engaged",2,3))</f>
        <v>1</v>
      </c>
      <c r="J87">
        <f ca="1">RAND()</f>
        <v>0.42512470869040564</v>
      </c>
      <c r="L87">
        <f>(B87-B$103)/B$104</f>
        <v>8.5770529734460858E-3</v>
      </c>
      <c r="M87">
        <f>(C87-C$103)/C$104</f>
        <v>-0.75252455305720034</v>
      </c>
      <c r="N87">
        <f>(G87-G$103)/G$104</f>
        <v>-0.11739130434782591</v>
      </c>
      <c r="O87">
        <f>(I87-I$103)/I$104</f>
        <v>-1.3007726429705861</v>
      </c>
      <c r="Q87">
        <f>SQRT(($L87-V$1)^2+($M87-W$1)^2+($N87-X$1)^2+($O87-Y$1)^2)</f>
        <v>2.4844735709958607</v>
      </c>
      <c r="R87">
        <f>SQRT(($L87-Z$1)^2+($M87-AA$1)^2+($N87-AB$1)^2+($O87-AC$1)^2)</f>
        <v>2.9960757375044511</v>
      </c>
      <c r="S87">
        <f>SQRT(($L87-AD$1)^2+($M87-AE$1)^2+($N87-AF$1)^2+($O87-AG$1)^2)</f>
        <v>2.2932982961610828</v>
      </c>
      <c r="T87">
        <f>SQRT(($L87-AH$1)^2+($M87-AI$1)^2+($N87-AJ$1)^2+($O87-AK$1)^2)</f>
        <v>1.5803266960745379</v>
      </c>
      <c r="U87" t="str">
        <f>IF(Q87=MIN(Q87,R87,S87,T87),"Cluster 1",IF(R87=MIN(Q87,R87,S87,T87),"Cluster 2",IF(S87=MIN(Q87,R87,S87,T87),"Cluster 3","Cluster 4")))</f>
        <v>Cluster 4</v>
      </c>
    </row>
    <row r="88" spans="1:21" x14ac:dyDescent="0.3">
      <c r="A88">
        <v>87</v>
      </c>
      <c r="B88">
        <v>43</v>
      </c>
      <c r="C88">
        <v>63312.67</v>
      </c>
      <c r="D88" t="s">
        <v>7</v>
      </c>
      <c r="E88" t="s">
        <v>12</v>
      </c>
      <c r="F88" t="s">
        <v>15</v>
      </c>
      <c r="G88">
        <f>IF(F88="Low Spender",1,IF(F88="Moderate Spender",2,3))</f>
        <v>2</v>
      </c>
      <c r="H88" t="s">
        <v>17</v>
      </c>
      <c r="I88">
        <f>IF(H88="Never Engaged",1,IF(H88="Rarely Engaged",2,3))</f>
        <v>1</v>
      </c>
      <c r="J88">
        <f ca="1">RAND()</f>
        <v>0.50277543531805735</v>
      </c>
      <c r="L88">
        <f>(B88-B$103)/B$104</f>
        <v>0.15152793586421723</v>
      </c>
      <c r="M88">
        <f>(C88-C$103)/C$104</f>
        <v>0.82087105876311905</v>
      </c>
      <c r="N88">
        <f>(G88-G$103)/G$104</f>
        <v>-0.11739130434782591</v>
      </c>
      <c r="O88">
        <f>(I88-I$103)/I$104</f>
        <v>-1.3007726429705861</v>
      </c>
      <c r="Q88">
        <f>SQRT(($L88-V$1)^2+($M88-W$1)^2+($N88-X$1)^2+($O88-Y$1)^2)</f>
        <v>2.5478592918735856</v>
      </c>
      <c r="R88">
        <f>SQRT(($L88-Z$1)^2+($M88-AA$1)^2+($N88-AB$1)^2+($O88-AC$1)^2)</f>
        <v>1.7931487273393885</v>
      </c>
      <c r="S88">
        <f>SQRT(($L88-AD$1)^2+($M88-AE$1)^2+($N88-AF$1)^2+($O88-AG$1)^2)</f>
        <v>2.675880266354246</v>
      </c>
      <c r="T88">
        <f>SQRT(($L88-AH$1)^2+($M88-AI$1)^2+($N88-AJ$1)^2+($O88-AK$1)^2)</f>
        <v>2.3155937481131752</v>
      </c>
      <c r="U88" t="str">
        <f>IF(Q88=MIN(Q88,R88,S88,T88),"Cluster 1",IF(R88=MIN(Q88,R88,S88,T88),"Cluster 2",IF(S88=MIN(Q88,R88,S88,T88),"Cluster 3","Cluster 4")))</f>
        <v>Cluster 2</v>
      </c>
    </row>
    <row r="89" spans="1:21" x14ac:dyDescent="0.3">
      <c r="A89">
        <v>88</v>
      </c>
      <c r="B89">
        <v>42</v>
      </c>
      <c r="C89">
        <v>59082.25</v>
      </c>
      <c r="D89" t="s">
        <v>8</v>
      </c>
      <c r="E89" t="s">
        <v>9</v>
      </c>
      <c r="F89" t="s">
        <v>14</v>
      </c>
      <c r="G89">
        <f>IF(F89="Low Spender",1,IF(F89="Moderate Spender",2,3))</f>
        <v>3</v>
      </c>
      <c r="H89" t="s">
        <v>18</v>
      </c>
      <c r="I89">
        <f>IF(H89="Never Engaged",1,IF(H89="Rarely Engaged",2,3))</f>
        <v>2</v>
      </c>
      <c r="J89">
        <f ca="1">RAND()</f>
        <v>0.46604883268721109</v>
      </c>
      <c r="L89">
        <f>(B89-B$103)/B$104</f>
        <v>8.0052494418831666E-2</v>
      </c>
      <c r="M89">
        <f>(C89-C$103)/C$104</f>
        <v>0.53819935720735312</v>
      </c>
      <c r="N89">
        <f>(G89-G$103)/G$104</f>
        <v>1.1869565217391307</v>
      </c>
      <c r="O89">
        <f>(I89-I$103)/I$104</f>
        <v>-0.15974400878586156</v>
      </c>
      <c r="Q89">
        <f>SQRT(($L89-V$1)^2+($M89-W$1)^2+($N89-X$1)^2+($O89-Y$1)^2)</f>
        <v>1.7060153605958801</v>
      </c>
      <c r="R89">
        <f>SQRT(($L89-Z$1)^2+($M89-AA$1)^2+($N89-AB$1)^2+($O89-AC$1)^2)</f>
        <v>3.2000836778051891</v>
      </c>
      <c r="S89">
        <f>SQRT(($L89-AD$1)^2+($M89-AE$1)^2+($N89-AF$1)^2+($O89-AG$1)^2)</f>
        <v>2.0617605024504346</v>
      </c>
      <c r="T89">
        <f>SQRT(($L89-AH$1)^2+($M89-AI$1)^2+($N89-AJ$1)^2+($O89-AK$1)^2)</f>
        <v>2.2289914386862151</v>
      </c>
      <c r="U89" t="str">
        <f>IF(Q89=MIN(Q89,R89,S89,T89),"Cluster 1",IF(R89=MIN(Q89,R89,S89,T89),"Cluster 2",IF(S89=MIN(Q89,R89,S89,T89),"Cluster 3","Cluster 4")))</f>
        <v>Cluster 1</v>
      </c>
    </row>
    <row r="90" spans="1:21" x14ac:dyDescent="0.3">
      <c r="A90">
        <v>89</v>
      </c>
      <c r="B90">
        <v>62</v>
      </c>
      <c r="C90">
        <v>39195.53</v>
      </c>
      <c r="D90" t="s">
        <v>8</v>
      </c>
      <c r="E90" t="s">
        <v>12</v>
      </c>
      <c r="F90" t="s">
        <v>13</v>
      </c>
      <c r="G90">
        <f>IF(F90="Low Spender",1,IF(F90="Moderate Spender",2,3))</f>
        <v>1</v>
      </c>
      <c r="H90" t="s">
        <v>17</v>
      </c>
      <c r="I90">
        <f>IF(H90="Never Engaged",1,IF(H90="Rarely Engaged",2,3))</f>
        <v>1</v>
      </c>
      <c r="J90">
        <f ca="1">RAND()</f>
        <v>0.69841350488449261</v>
      </c>
      <c r="L90">
        <f>(B90-B$103)/B$104</f>
        <v>1.5095613233265432</v>
      </c>
      <c r="M90">
        <f>(C90-C$103)/C$104</f>
        <v>-0.79060794343019158</v>
      </c>
      <c r="N90">
        <f>(G90-G$103)/G$104</f>
        <v>-1.4217391304347826</v>
      </c>
      <c r="O90">
        <f>(I90-I$103)/I$104</f>
        <v>-1.3007726429705861</v>
      </c>
      <c r="Q90">
        <f>SQRT(($L90-V$1)^2+($M90-W$1)^2+($N90-X$1)^2+($O90-Y$1)^2)</f>
        <v>4.2796066582375563</v>
      </c>
      <c r="R90">
        <f>SQRT(($L90-Z$1)^2+($M90-AA$1)^2+($N90-AB$1)^2+($O90-AC$1)^2)</f>
        <v>3.3196054246226119</v>
      </c>
      <c r="S90">
        <f>SQRT(($L90-AD$1)^2+($M90-AE$1)^2+($N90-AF$1)^2+($O90-AG$1)^2)</f>
        <v>2.9663479632530265</v>
      </c>
      <c r="T90">
        <f>SQRT(($L90-AH$1)^2+($M90-AI$1)^2+($N90-AJ$1)^2+($O90-AK$1)^2)</f>
        <v>1.7939662631461351</v>
      </c>
      <c r="U90" t="str">
        <f>IF(Q90=MIN(Q90,R90,S90,T90),"Cluster 1",IF(R90=MIN(Q90,R90,S90,T90),"Cluster 2",IF(S90=MIN(Q90,R90,S90,T90),"Cluster 3","Cluster 4")))</f>
        <v>Cluster 4</v>
      </c>
    </row>
    <row r="91" spans="1:21" x14ac:dyDescent="0.3">
      <c r="A91">
        <v>90</v>
      </c>
      <c r="B91">
        <v>58</v>
      </c>
      <c r="C91">
        <v>45950.99</v>
      </c>
      <c r="D91" t="s">
        <v>7</v>
      </c>
      <c r="E91" t="s">
        <v>9</v>
      </c>
      <c r="F91" t="s">
        <v>15</v>
      </c>
      <c r="G91">
        <f>IF(F91="Low Spender",1,IF(F91="Moderate Spender",2,3))</f>
        <v>2</v>
      </c>
      <c r="H91" t="s">
        <v>16</v>
      </c>
      <c r="I91">
        <f>IF(H91="Never Engaged",1,IF(H91="Rarely Engaged",2,3))</f>
        <v>3</v>
      </c>
      <c r="J91">
        <f ca="1">RAND()</f>
        <v>0.47588628934217791</v>
      </c>
      <c r="L91">
        <f>(B91-B$103)/B$104</f>
        <v>1.2236595575450009</v>
      </c>
      <c r="M91">
        <f>(C91-C$103)/C$104</f>
        <v>-0.33921603128153632</v>
      </c>
      <c r="N91">
        <f>(G91-G$103)/G$104</f>
        <v>-0.11739130434782591</v>
      </c>
      <c r="O91">
        <f>(I91-I$103)/I$104</f>
        <v>0.98128462539886296</v>
      </c>
      <c r="Q91">
        <f>SQRT(($L91-V$1)^2+($M91-W$1)^2+($N91-X$1)^2+($O91-Y$1)^2)</f>
        <v>3.30926347686811</v>
      </c>
      <c r="R91">
        <f>SQRT(($L91-Z$1)^2+($M91-AA$1)^2+($N91-AB$1)^2+($O91-AC$1)^2)</f>
        <v>3.8304645213876856</v>
      </c>
      <c r="S91">
        <f>SQRT(($L91-AD$1)^2+($M91-AE$1)^2+($N91-AF$1)^2+($O91-AG$1)^2)</f>
        <v>1.0980681156634071</v>
      </c>
      <c r="T91">
        <f>SQRT(($L91-AH$1)^2+($M91-AI$1)^2+($N91-AJ$1)^2+($O91-AK$1)^2)</f>
        <v>1.3101729297030356</v>
      </c>
      <c r="U91" t="str">
        <f>IF(Q91=MIN(Q91,R91,S91,T91),"Cluster 1",IF(R91=MIN(Q91,R91,S91,T91),"Cluster 2",IF(S91=MIN(Q91,R91,S91,T91),"Cluster 3","Cluster 4")))</f>
        <v>Cluster 3</v>
      </c>
    </row>
    <row r="92" spans="1:21" x14ac:dyDescent="0.3">
      <c r="A92">
        <v>91</v>
      </c>
      <c r="B92">
        <v>46</v>
      </c>
      <c r="C92">
        <v>47848.07</v>
      </c>
      <c r="D92" t="s">
        <v>8</v>
      </c>
      <c r="E92" t="s">
        <v>10</v>
      </c>
      <c r="F92" t="s">
        <v>15</v>
      </c>
      <c r="G92">
        <f>IF(F92="Low Spender",1,IF(F92="Moderate Spender",2,3))</f>
        <v>2</v>
      </c>
      <c r="H92" t="s">
        <v>16</v>
      </c>
      <c r="I92">
        <f>IF(H92="Never Engaged",1,IF(H92="Rarely Engaged",2,3))</f>
        <v>3</v>
      </c>
      <c r="J92">
        <f ca="1">RAND()</f>
        <v>0.21507723909247745</v>
      </c>
      <c r="L92">
        <f>(B92-B$103)/B$104</f>
        <v>0.36595426020037397</v>
      </c>
      <c r="M92">
        <f>(C92-C$103)/C$104</f>
        <v>-0.21245537120820721</v>
      </c>
      <c r="N92">
        <f>(G92-G$103)/G$104</f>
        <v>-0.11739130434782591</v>
      </c>
      <c r="O92">
        <f>(I92-I$103)/I$104</f>
        <v>0.98128462539886296</v>
      </c>
      <c r="Q92">
        <f>SQRT(($L92-V$1)^2+($M92-W$1)^2+($N92-X$1)^2+($O92-Y$1)^2)</f>
        <v>2.6104295429936251</v>
      </c>
      <c r="R92">
        <f>SQRT(($L92-Z$1)^2+($M92-AA$1)^2+($N92-AB$1)^2+($O92-AC$1)^2)</f>
        <v>3.4689814934536232</v>
      </c>
      <c r="S92">
        <f>SQRT(($L92-AD$1)^2+($M92-AE$1)^2+($N92-AF$1)^2+($O92-AG$1)^2)</f>
        <v>0.42247143997020337</v>
      </c>
      <c r="T92">
        <f>SQRT(($L92-AH$1)^2+($M92-AI$1)^2+($N92-AJ$1)^2+($O92-AK$1)^2)</f>
        <v>1.5434470645939189</v>
      </c>
      <c r="U92" t="str">
        <f>IF(Q92=MIN(Q92,R92,S92,T92),"Cluster 1",IF(R92=MIN(Q92,R92,S92,T92),"Cluster 2",IF(S92=MIN(Q92,R92,S92,T92),"Cluster 3","Cluster 4")))</f>
        <v>Cluster 3</v>
      </c>
    </row>
    <row r="93" spans="1:21" x14ac:dyDescent="0.3">
      <c r="A93">
        <v>92</v>
      </c>
      <c r="B93">
        <v>32</v>
      </c>
      <c r="C93">
        <v>59255.06</v>
      </c>
      <c r="D93" t="s">
        <v>7</v>
      </c>
      <c r="E93" t="s">
        <v>10</v>
      </c>
      <c r="F93" t="s">
        <v>15</v>
      </c>
      <c r="G93">
        <f>IF(F93="Low Spender",1,IF(F93="Moderate Spender",2,3))</f>
        <v>2</v>
      </c>
      <c r="H93" t="s">
        <v>17</v>
      </c>
      <c r="I93">
        <f>IF(H93="Never Engaged",1,IF(H93="Rarely Engaged",2,3))</f>
        <v>1</v>
      </c>
      <c r="J93">
        <f ca="1">RAND()</f>
        <v>0.54919098738126171</v>
      </c>
      <c r="L93">
        <f>(B93-B$103)/B$104</f>
        <v>-0.63470192003502413</v>
      </c>
      <c r="M93">
        <f>(C93-C$103)/C$104</f>
        <v>0.54974631867828305</v>
      </c>
      <c r="N93">
        <f>(G93-G$103)/G$104</f>
        <v>-0.11739130434782591</v>
      </c>
      <c r="O93">
        <f>(I93-I$103)/I$104</f>
        <v>-1.3007726429705861</v>
      </c>
      <c r="Q93">
        <f>SQRT(($L93-V$1)^2+($M93-W$1)^2+($N93-X$1)^2+($O93-Y$1)^2)</f>
        <v>2.0212068114291353</v>
      </c>
      <c r="R93">
        <f>SQRT(($L93-Z$1)^2+($M93-AA$1)^2+($N93-AB$1)^2+($O93-AC$1)^2)</f>
        <v>1.8970275308734905</v>
      </c>
      <c r="S93">
        <f>SQRT(($L93-AD$1)^2+($M93-AE$1)^2+($N93-AF$1)^2+($O93-AG$1)^2)</f>
        <v>2.6635119893420707</v>
      </c>
      <c r="T93">
        <f>SQRT(($L93-AH$1)^2+($M93-AI$1)^2+($N93-AJ$1)^2+($O93-AK$1)^2)</f>
        <v>2.5583670614039935</v>
      </c>
      <c r="U93" t="str">
        <f>IF(Q93=MIN(Q93,R93,S93,T93),"Cluster 1",IF(R93=MIN(Q93,R93,S93,T93),"Cluster 2",IF(S93=MIN(Q93,R93,S93,T93),"Cluster 3","Cluster 4")))</f>
        <v>Cluster 2</v>
      </c>
    </row>
    <row r="94" spans="1:21" x14ac:dyDescent="0.3">
      <c r="A94">
        <v>93</v>
      </c>
      <c r="B94">
        <v>62</v>
      </c>
      <c r="C94">
        <v>68734.11</v>
      </c>
      <c r="D94" t="s">
        <v>8</v>
      </c>
      <c r="E94" t="s">
        <v>10</v>
      </c>
      <c r="F94" t="s">
        <v>14</v>
      </c>
      <c r="G94">
        <f>IF(F94="Low Spender",1,IF(F94="Moderate Spender",2,3))</f>
        <v>3</v>
      </c>
      <c r="H94" t="s">
        <v>16</v>
      </c>
      <c r="I94">
        <f>IF(H94="Never Engaged",1,IF(H94="Rarely Engaged",2,3))</f>
        <v>3</v>
      </c>
      <c r="J94">
        <f ca="1">RAND()</f>
        <v>0.31267557908918664</v>
      </c>
      <c r="L94">
        <f>(B94-B$103)/B$104</f>
        <v>1.5095613233265432</v>
      </c>
      <c r="M94">
        <f>(C94-C$103)/C$104</f>
        <v>1.1831253194943212</v>
      </c>
      <c r="N94">
        <f>(G94-G$103)/G$104</f>
        <v>1.1869565217391307</v>
      </c>
      <c r="O94">
        <f>(I94-I$103)/I$104</f>
        <v>0.98128462539886296</v>
      </c>
      <c r="Q94">
        <f>SQRT(($L94-V$1)^2+($M94-W$1)^2+($N94-X$1)^2+($O94-Y$1)^2)</f>
        <v>3.4583397384264645</v>
      </c>
      <c r="R94">
        <f>SQRT(($L94-Z$1)^2+($M94-AA$1)^2+($N94-AB$1)^2+($O94-AC$1)^2)</f>
        <v>4.033149523078535</v>
      </c>
      <c r="S94">
        <f>SQRT(($L94-AD$1)^2+($M94-AE$1)^2+($N94-AF$1)^2+($O94-AG$1)^2)</f>
        <v>2.5771570082009516</v>
      </c>
      <c r="T94">
        <f>SQRT(($L94-AH$1)^2+($M94-AI$1)^2+($N94-AJ$1)^2+($O94-AK$1)^2)</f>
        <v>2.7947138444471249</v>
      </c>
      <c r="U94" t="str">
        <f>IF(Q94=MIN(Q94,R94,S94,T94),"Cluster 1",IF(R94=MIN(Q94,R94,S94,T94),"Cluster 2",IF(S94=MIN(Q94,R94,S94,T94),"Cluster 3","Cluster 4")))</f>
        <v>Cluster 3</v>
      </c>
    </row>
    <row r="95" spans="1:21" x14ac:dyDescent="0.3">
      <c r="A95">
        <v>94</v>
      </c>
      <c r="B95">
        <v>18</v>
      </c>
      <c r="C95">
        <v>50984.74</v>
      </c>
      <c r="D95" t="s">
        <v>7</v>
      </c>
      <c r="E95" t="s">
        <v>9</v>
      </c>
      <c r="F95" t="s">
        <v>15</v>
      </c>
      <c r="G95">
        <f>IF(F95="Low Spender",1,IF(F95="Moderate Spender",2,3))</f>
        <v>2</v>
      </c>
      <c r="H95" t="s">
        <v>17</v>
      </c>
      <c r="I95">
        <f>IF(H95="Never Engaged",1,IF(H95="Rarely Engaged",2,3))</f>
        <v>1</v>
      </c>
      <c r="J95">
        <f ca="1">RAND()</f>
        <v>0.66960856519799794</v>
      </c>
      <c r="L95">
        <f>(B95-B$103)/B$104</f>
        <v>-1.6353581002704223</v>
      </c>
      <c r="M95">
        <f>(C95-C$103)/C$104</f>
        <v>-2.8667615384997142E-3</v>
      </c>
      <c r="N95">
        <f>(G95-G$103)/G$104</f>
        <v>-0.11739130434782591</v>
      </c>
      <c r="O95">
        <f>(I95-I$103)/I$104</f>
        <v>-1.3007726429705861</v>
      </c>
      <c r="Q95">
        <f>SQRT(($L95-V$1)^2+($M95-W$1)^2+($N95-X$1)^2+($O95-Y$1)^2)</f>
        <v>1.7365509073881891</v>
      </c>
      <c r="R95">
        <f>SQRT(($L95-Z$1)^2+($M95-AA$1)^2+($N95-AB$1)^2+($O95-AC$1)^2)</f>
        <v>2.6150305936450589</v>
      </c>
      <c r="S95">
        <f>SQRT(($L95-AD$1)^2+($M95-AE$1)^2+($N95-AF$1)^2+($O95-AG$1)^2)</f>
        <v>2.9546171909343895</v>
      </c>
      <c r="T95">
        <f>SQRT(($L95-AH$1)^2+($M95-AI$1)^2+($N95-AJ$1)^2+($O95-AK$1)^2)</f>
        <v>3.0997755930510045</v>
      </c>
      <c r="U95" t="str">
        <f>IF(Q95=MIN(Q95,R95,S95,T95),"Cluster 1",IF(R95=MIN(Q95,R95,S95,T95),"Cluster 2",IF(S95=MIN(Q95,R95,S95,T95),"Cluster 3","Cluster 4")))</f>
        <v>Cluster 1</v>
      </c>
    </row>
    <row r="96" spans="1:21" x14ac:dyDescent="0.3">
      <c r="A96">
        <v>95</v>
      </c>
      <c r="B96">
        <v>42</v>
      </c>
      <c r="C96">
        <v>67538.11</v>
      </c>
      <c r="D96" t="s">
        <v>8</v>
      </c>
      <c r="E96" t="s">
        <v>12</v>
      </c>
      <c r="F96" t="s">
        <v>13</v>
      </c>
      <c r="G96">
        <f>IF(F96="Low Spender",1,IF(F96="Moderate Spender",2,3))</f>
        <v>1</v>
      </c>
      <c r="H96" t="s">
        <v>16</v>
      </c>
      <c r="I96">
        <f>IF(H96="Never Engaged",1,IF(H96="Rarely Engaged",2,3))</f>
        <v>3</v>
      </c>
      <c r="J96">
        <f ca="1">RAND()</f>
        <v>0.66303566981489681</v>
      </c>
      <c r="L96">
        <f>(B96-B$103)/B$104</f>
        <v>8.0052494418831666E-2</v>
      </c>
      <c r="M96">
        <f>(C96-C$103)/C$104</f>
        <v>1.1032100025610863</v>
      </c>
      <c r="N96">
        <f>(G96-G$103)/G$104</f>
        <v>-1.4217391304347826</v>
      </c>
      <c r="O96">
        <f>(I96-I$103)/I$104</f>
        <v>0.98128462539886296</v>
      </c>
      <c r="Q96">
        <f>SQRT(($L96-V$1)^2+($M96-W$1)^2+($N96-X$1)^2+($O96-Y$1)^2)</f>
        <v>3.4427156723928087</v>
      </c>
      <c r="R96">
        <f>SQRT(($L96-Z$1)^2+($M96-AA$1)^2+($N96-AB$1)^2+($O96-AC$1)^2)</f>
        <v>2.4717784911697316</v>
      </c>
      <c r="S96">
        <f>SQRT(($L96-AD$1)^2+($M96-AE$1)^2+($N96-AF$1)^2+($O96-AG$1)^2)</f>
        <v>2.1278492012241972</v>
      </c>
      <c r="T96">
        <f>SQRT(($L96-AH$1)^2+($M96-AI$1)^2+($N96-AJ$1)^2+($O96-AK$1)^2)</f>
        <v>2.8793309486536347</v>
      </c>
      <c r="U96" t="str">
        <f>IF(Q96=MIN(Q96,R96,S96,T96),"Cluster 1",IF(R96=MIN(Q96,R96,S96,T96),"Cluster 2",IF(S96=MIN(Q96,R96,S96,T96),"Cluster 3","Cluster 4")))</f>
        <v>Cluster 3</v>
      </c>
    </row>
    <row r="97" spans="1:21" x14ac:dyDescent="0.3">
      <c r="A97">
        <v>96</v>
      </c>
      <c r="B97">
        <v>24</v>
      </c>
      <c r="C97">
        <v>63099.75</v>
      </c>
      <c r="D97" t="s">
        <v>7</v>
      </c>
      <c r="E97" t="s">
        <v>12</v>
      </c>
      <c r="F97" t="s">
        <v>15</v>
      </c>
      <c r="G97">
        <f>IF(F97="Low Spender",1,IF(F97="Moderate Spender",2,3))</f>
        <v>2</v>
      </c>
      <c r="H97" t="s">
        <v>16</v>
      </c>
      <c r="I97">
        <f>IF(H97="Never Engaged",1,IF(H97="Rarely Engaged",2,3))</f>
        <v>3</v>
      </c>
      <c r="J97">
        <f ca="1">RAND()</f>
        <v>0.89453570748852851</v>
      </c>
      <c r="L97">
        <f>(B97-B$103)/B$104</f>
        <v>-1.2065054515981086</v>
      </c>
      <c r="M97">
        <f>(C97-C$103)/C$104</f>
        <v>0.80664399414654353</v>
      </c>
      <c r="N97">
        <f>(G97-G$103)/G$104</f>
        <v>-0.11739130434782591</v>
      </c>
      <c r="O97">
        <f>(I97-I$103)/I$104</f>
        <v>0.98128462539886296</v>
      </c>
      <c r="Q97">
        <f>SQRT(($L97-V$1)^2+($M97-W$1)^2+($N97-X$1)^2+($O97-Y$1)^2)</f>
        <v>1.912029067820245</v>
      </c>
      <c r="R97">
        <f>SQRT(($L97-Z$1)^2+($M97-AA$1)^2+($N97-AB$1)^2+($O97-AC$1)^2)</f>
        <v>2.9572910230419271</v>
      </c>
      <c r="S97">
        <f>SQRT(($L97-AD$1)^2+($M97-AE$1)^2+($N97-AF$1)^2+($O97-AG$1)^2)</f>
        <v>1.9383619155956826</v>
      </c>
      <c r="T97">
        <f>SQRT(($L97-AH$1)^2+($M97-AI$1)^2+($N97-AJ$1)^2+($O97-AK$1)^2)</f>
        <v>3.1111532871765157</v>
      </c>
      <c r="U97" t="str">
        <f>IF(Q97=MIN(Q97,R97,S97,T97),"Cluster 1",IF(R97=MIN(Q97,R97,S97,T97),"Cluster 2",IF(S97=MIN(Q97,R97,S97,T97),"Cluster 3","Cluster 4")))</f>
        <v>Cluster 1</v>
      </c>
    </row>
    <row r="98" spans="1:21" x14ac:dyDescent="0.3">
      <c r="A98">
        <v>97</v>
      </c>
      <c r="B98">
        <v>26</v>
      </c>
      <c r="C98">
        <v>53084.75</v>
      </c>
      <c r="D98" t="s">
        <v>8</v>
      </c>
      <c r="E98" t="s">
        <v>9</v>
      </c>
      <c r="F98" t="s">
        <v>15</v>
      </c>
      <c r="G98">
        <f>IF(F98="Low Spender",1,IF(F98="Moderate Spender",2,3))</f>
        <v>2</v>
      </c>
      <c r="H98" t="s">
        <v>17</v>
      </c>
      <c r="I98">
        <f>IF(H98="Never Engaged",1,IF(H98="Rarely Engaged",2,3))</f>
        <v>1</v>
      </c>
      <c r="J98">
        <f ca="1">RAND()</f>
        <v>0.29671633171148704</v>
      </c>
      <c r="L98">
        <f>(B98-B$103)/B$104</f>
        <v>-1.0635545687073376</v>
      </c>
      <c r="M98">
        <f>(C98-C$103)/C$104</f>
        <v>0.13745344307100116</v>
      </c>
      <c r="N98">
        <f>(G98-G$103)/G$104</f>
        <v>-0.11739130434782591</v>
      </c>
      <c r="O98">
        <f>(I98-I$103)/I$104</f>
        <v>-1.3007726429705861</v>
      </c>
      <c r="Q98">
        <f>SQRT(($L98-V$1)^2+($M98-W$1)^2+($N98-X$1)^2+($O98-Y$1)^2)</f>
        <v>1.8046202917891245</v>
      </c>
      <c r="R98">
        <f>SQRT(($L98-Z$1)^2+($M98-AA$1)^2+($N98-AB$1)^2+($O98-AC$1)^2)</f>
        <v>2.2931449426599255</v>
      </c>
      <c r="S98">
        <f>SQRT(($L98-AD$1)^2+($M98-AE$1)^2+($N98-AF$1)^2+($O98-AG$1)^2)</f>
        <v>2.6821430448321157</v>
      </c>
      <c r="T98">
        <f>SQRT(($L98-AH$1)^2+($M98-AI$1)^2+($N98-AJ$1)^2+($O98-AK$1)^2)</f>
        <v>2.6682827010973331</v>
      </c>
      <c r="U98" t="str">
        <f>IF(Q98=MIN(Q98,R98,S98,T98),"Cluster 1",IF(R98=MIN(Q98,R98,S98,T98),"Cluster 2",IF(S98=MIN(Q98,R98,S98,T98),"Cluster 3","Cluster 4")))</f>
        <v>Cluster 1</v>
      </c>
    </row>
    <row r="99" spans="1:21" x14ac:dyDescent="0.3">
      <c r="A99">
        <v>98</v>
      </c>
      <c r="B99">
        <v>41</v>
      </c>
      <c r="C99">
        <v>28347.75</v>
      </c>
      <c r="D99" t="s">
        <v>8</v>
      </c>
      <c r="E99" t="s">
        <v>10</v>
      </c>
      <c r="F99" t="s">
        <v>13</v>
      </c>
      <c r="G99">
        <f>IF(F99="Low Spender",1,IF(F99="Moderate Spender",2,3))</f>
        <v>1</v>
      </c>
      <c r="H99" t="s">
        <v>16</v>
      </c>
      <c r="I99">
        <f>IF(H99="Never Engaged",1,IF(H99="Rarely Engaged",2,3))</f>
        <v>3</v>
      </c>
      <c r="J99">
        <f ca="1">RAND()</f>
        <v>0.83168946463757876</v>
      </c>
      <c r="L99">
        <f>(B99-B$103)/B$104</f>
        <v>8.5770529734460858E-3</v>
      </c>
      <c r="M99">
        <f>(C99-C$103)/C$104</f>
        <v>-1.5154438771442451</v>
      </c>
      <c r="N99">
        <f>(G99-G$103)/G$104</f>
        <v>-1.4217391304347826</v>
      </c>
      <c r="O99">
        <f>(I99-I$103)/I$104</f>
        <v>0.98128462539886296</v>
      </c>
      <c r="Q99">
        <f>SQRT(($L99-V$1)^2+($M99-W$1)^2+($N99-X$1)^2+($O99-Y$1)^2)</f>
        <v>3.623841748530082</v>
      </c>
      <c r="R99">
        <f>SQRT(($L99-Z$1)^2+($M99-AA$1)^2+($N99-AB$1)^2+($O99-AC$1)^2)</f>
        <v>4.1386217042537794</v>
      </c>
      <c r="S99">
        <f>SQRT(($L99-AD$1)^2+($M99-AE$1)^2+($N99-AF$1)^2+($O99-AG$1)^2)</f>
        <v>1.6135173855941967</v>
      </c>
      <c r="T99">
        <f>SQRT(($L99-AH$1)^2+($M99-AI$1)^2+($N99-AJ$1)^2+($O99-AK$1)^2)</f>
        <v>2.1103257742186843</v>
      </c>
      <c r="U99" t="str">
        <f>IF(Q99=MIN(Q99,R99,S99,T99),"Cluster 1",IF(R99=MIN(Q99,R99,S99,T99),"Cluster 2",IF(S99=MIN(Q99,R99,S99,T99),"Cluster 3","Cluster 4")))</f>
        <v>Cluster 3</v>
      </c>
    </row>
    <row r="100" spans="1:21" x14ac:dyDescent="0.3">
      <c r="A100">
        <v>99</v>
      </c>
      <c r="B100">
        <v>18</v>
      </c>
      <c r="C100">
        <v>34584.339999999997</v>
      </c>
      <c r="D100" t="s">
        <v>7</v>
      </c>
      <c r="E100" t="s">
        <v>10</v>
      </c>
      <c r="F100" t="s">
        <v>15</v>
      </c>
      <c r="G100">
        <f>IF(F100="Low Spender",1,IF(F100="Moderate Spender",2,3))</f>
        <v>2</v>
      </c>
      <c r="H100" t="s">
        <v>17</v>
      </c>
      <c r="I100">
        <f>IF(H100="Never Engaged",1,IF(H100="Rarely Engaged",2,3))</f>
        <v>1</v>
      </c>
      <c r="J100">
        <f ca="1">RAND()</f>
        <v>0.11749493073942929</v>
      </c>
      <c r="L100">
        <f>(B100-B$103)/B$104</f>
        <v>-1.6353581002704223</v>
      </c>
      <c r="M100">
        <f>(C100-C$103)/C$104</f>
        <v>-1.0987222496922018</v>
      </c>
      <c r="N100">
        <f>(G100-G$103)/G$104</f>
        <v>-0.11739130434782591</v>
      </c>
      <c r="O100">
        <f>(I100-I$103)/I$104</f>
        <v>-1.3007726429705861</v>
      </c>
      <c r="Q100">
        <f>SQRT(($L100-V$1)^2+($M100-W$1)^2+($N100-X$1)^2+($O100-Y$1)^2)</f>
        <v>2.0983034730408261</v>
      </c>
      <c r="R100">
        <f>SQRT(($L100-Z$1)^2+($M100-AA$1)^2+($N100-AB$1)^2+($O100-AC$1)^2)</f>
        <v>3.4975189330061638</v>
      </c>
      <c r="S100">
        <f>SQRT(($L100-AD$1)^2+($M100-AE$1)^2+($N100-AF$1)^2+($O100-AG$1)^2)</f>
        <v>2.9450804841841016</v>
      </c>
      <c r="T100">
        <f>SQRT(($L100-AH$1)^2+($M100-AI$1)^2+($N100-AJ$1)^2+($O100-AK$1)^2)</f>
        <v>2.9489495458838193</v>
      </c>
      <c r="U100" t="str">
        <f>IF(Q100=MIN(Q100,R100,S100,T100),"Cluster 1",IF(R100=MIN(Q100,R100,S100,T100),"Cluster 2",IF(S100=MIN(Q100,R100,S100,T100),"Cluster 3","Cluster 4")))</f>
        <v>Cluster 1</v>
      </c>
    </row>
    <row r="101" spans="1:21" x14ac:dyDescent="0.3">
      <c r="A101">
        <v>100</v>
      </c>
      <c r="B101">
        <v>61</v>
      </c>
      <c r="C101">
        <v>61118.61</v>
      </c>
      <c r="D101" t="s">
        <v>8</v>
      </c>
      <c r="E101" t="s">
        <v>12</v>
      </c>
      <c r="F101" t="s">
        <v>14</v>
      </c>
      <c r="G101">
        <f>IF(F101="Low Spender",1,IF(F101="Moderate Spender",2,3))</f>
        <v>3</v>
      </c>
      <c r="H101" t="s">
        <v>16</v>
      </c>
      <c r="I101">
        <f>IF(H101="Never Engaged",1,IF(H101="Rarely Engaged",2,3))</f>
        <v>3</v>
      </c>
      <c r="J101">
        <f ca="1">RAND()</f>
        <v>0.64205043103395931</v>
      </c>
      <c r="L101">
        <f>(B101-B$103)/B$104</f>
        <v>1.4380858818811577</v>
      </c>
      <c r="M101">
        <f>(C101-C$103)/C$104</f>
        <v>0.6742665434867533</v>
      </c>
      <c r="N101">
        <f>(G101-G$103)/G$104</f>
        <v>1.1869565217391307</v>
      </c>
      <c r="O101">
        <f>(I101-I$103)/I$104</f>
        <v>0.98128462539886296</v>
      </c>
      <c r="Q101">
        <f>SQRT(($L101-V$1)^2+($M101-W$1)^2+($N101-X$1)^2+($O101-Y$1)^2)</f>
        <v>3.2656306401431801</v>
      </c>
      <c r="R101">
        <f>SQRT(($L101-Z$1)^2+($M101-AA$1)^2+($N101-AB$1)^2+($O101-AC$1)^2)</f>
        <v>4.122455793285889</v>
      </c>
      <c r="S101">
        <f>SQRT(($L101-AD$1)^2+($M101-AE$1)^2+($N101-AF$1)^2+($O101-AG$1)^2)</f>
        <v>2.2183069155206478</v>
      </c>
      <c r="T101">
        <f>SQRT(($L101-AH$1)^2+($M101-AI$1)^2+($N101-AJ$1)^2+($O101-AK$1)^2)</f>
        <v>2.4134826340326621</v>
      </c>
      <c r="U101" t="str">
        <f>IF(Q101=MIN(Q101,R101,S101,T101),"Cluster 1",IF(R101=MIN(Q101,R101,S101,T101),"Cluster 2",IF(S101=MIN(Q101,R101,S101,T101),"Cluster 3","Cluster 4")))</f>
        <v>Cluster 3</v>
      </c>
    </row>
    <row r="103" spans="1:21" x14ac:dyDescent="0.3">
      <c r="A103" t="s">
        <v>22</v>
      </c>
      <c r="B103">
        <f>AVERAGE(B2:B101)</f>
        <v>40.880000000000003</v>
      </c>
      <c r="C103">
        <f t="shared" ref="C103:I103" si="0">AVERAGE(C2:C101)</f>
        <v>51027.643500000006</v>
      </c>
      <c r="D103" t="s">
        <v>33</v>
      </c>
      <c r="E103" t="s">
        <v>35</v>
      </c>
      <c r="F103" t="s">
        <v>39</v>
      </c>
      <c r="G103">
        <f t="shared" si="0"/>
        <v>2.09</v>
      </c>
      <c r="H103" t="s">
        <v>42</v>
      </c>
      <c r="I103">
        <f t="shared" si="0"/>
        <v>2.14</v>
      </c>
    </row>
    <row r="104" spans="1:21" x14ac:dyDescent="0.3">
      <c r="A104" t="s">
        <v>23</v>
      </c>
      <c r="B104">
        <f>_xlfn.STDEV.S(B2:B101)</f>
        <v>13.990819500766575</v>
      </c>
      <c r="C104">
        <f t="shared" ref="C104:I104" si="1">_xlfn.STDEV.S(C2:C101)</f>
        <v>14965.841917378544</v>
      </c>
      <c r="D104" t="s">
        <v>34</v>
      </c>
      <c r="E104" t="s">
        <v>36</v>
      </c>
      <c r="F104" t="s">
        <v>40</v>
      </c>
      <c r="G104">
        <f t="shared" si="1"/>
        <v>0.76666666666666661</v>
      </c>
      <c r="H104" t="s">
        <v>43</v>
      </c>
      <c r="I104">
        <f t="shared" si="1"/>
        <v>0.87640219538794417</v>
      </c>
    </row>
    <row r="105" spans="1:21" x14ac:dyDescent="0.3">
      <c r="E105" t="s">
        <v>37</v>
      </c>
      <c r="F105" t="s">
        <v>41</v>
      </c>
      <c r="H105" t="s">
        <v>44</v>
      </c>
    </row>
    <row r="106" spans="1:21" x14ac:dyDescent="0.3">
      <c r="E106" t="s">
        <v>38</v>
      </c>
    </row>
  </sheetData>
  <autoFilter ref="A1:U101" xr:uid="{7E5D6B44-22B6-4249-AD3F-0E28459E8774}">
    <sortState xmlns:xlrd2="http://schemas.microsoft.com/office/spreadsheetml/2017/richdata2" ref="A2:U101">
      <sortCondition ref="A1:A10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88B73-5DD0-4D8F-BEB6-3505853F157E}">
  <dimension ref="A1:V29"/>
  <sheetViews>
    <sheetView topLeftCell="A18" workbookViewId="0">
      <selection activeCell="D45" sqref="D45"/>
    </sheetView>
  </sheetViews>
  <sheetFormatPr defaultRowHeight="14.4" x14ac:dyDescent="0.3"/>
  <cols>
    <col min="1" max="22" width="13.77734375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</v>
      </c>
      <c r="H1" s="1" t="s">
        <v>6</v>
      </c>
      <c r="I1" s="2" t="s">
        <v>21</v>
      </c>
      <c r="J1" s="2" t="s">
        <v>19</v>
      </c>
      <c r="L1" s="3" t="s">
        <v>24</v>
      </c>
      <c r="M1" s="3" t="s">
        <v>25</v>
      </c>
      <c r="N1" s="4" t="s">
        <v>26</v>
      </c>
      <c r="O1" s="4" t="s">
        <v>27</v>
      </c>
      <c r="P1" s="4"/>
      <c r="R1" s="4" t="s">
        <v>28</v>
      </c>
      <c r="S1" s="4" t="s">
        <v>29</v>
      </c>
      <c r="T1" s="4" t="s">
        <v>30</v>
      </c>
      <c r="U1" s="4" t="s">
        <v>45</v>
      </c>
      <c r="V1" s="4" t="s">
        <v>32</v>
      </c>
    </row>
    <row r="2" spans="1:22" x14ac:dyDescent="0.3">
      <c r="A2">
        <v>99</v>
      </c>
      <c r="B2">
        <v>18</v>
      </c>
      <c r="C2">
        <v>34584.339999999997</v>
      </c>
      <c r="D2" t="s">
        <v>7</v>
      </c>
      <c r="E2" t="s">
        <v>10</v>
      </c>
      <c r="F2" t="s">
        <v>15</v>
      </c>
      <c r="G2">
        <v>2</v>
      </c>
      <c r="H2" t="s">
        <v>17</v>
      </c>
      <c r="I2">
        <v>1</v>
      </c>
      <c r="J2">
        <v>0.9508534856791373</v>
      </c>
      <c r="L2">
        <v>-1.6353581002704223</v>
      </c>
      <c r="M2">
        <v>-1.0987222496922013</v>
      </c>
      <c r="N2">
        <v>-0.11739130434782591</v>
      </c>
      <c r="O2">
        <v>-1.3007726429705861</v>
      </c>
      <c r="R2">
        <v>2.0983034730408257</v>
      </c>
      <c r="S2">
        <v>3.4975189330061638</v>
      </c>
      <c r="T2">
        <v>2.9450804841841016</v>
      </c>
      <c r="U2">
        <v>2.9489495458838193</v>
      </c>
      <c r="V2" t="s">
        <v>28</v>
      </c>
    </row>
    <row r="3" spans="1:22" x14ac:dyDescent="0.3">
      <c r="A3">
        <v>94</v>
      </c>
      <c r="B3">
        <v>18</v>
      </c>
      <c r="C3">
        <v>50984.74</v>
      </c>
      <c r="D3" t="s">
        <v>7</v>
      </c>
      <c r="E3" t="s">
        <v>9</v>
      </c>
      <c r="F3" t="s">
        <v>15</v>
      </c>
      <c r="G3">
        <v>2</v>
      </c>
      <c r="H3" t="s">
        <v>17</v>
      </c>
      <c r="I3">
        <v>1</v>
      </c>
      <c r="J3">
        <v>0.21346643570137014</v>
      </c>
      <c r="L3">
        <v>-1.6353581002704223</v>
      </c>
      <c r="M3">
        <v>-2.8667615384992276E-3</v>
      </c>
      <c r="N3">
        <v>-0.11739130434782591</v>
      </c>
      <c r="O3">
        <v>-1.3007726429705861</v>
      </c>
      <c r="R3">
        <v>1.7365509073881891</v>
      </c>
      <c r="S3">
        <v>2.6150305936450589</v>
      </c>
      <c r="T3">
        <v>2.9546171909343895</v>
      </c>
      <c r="U3">
        <v>3.0997755930510045</v>
      </c>
      <c r="V3" t="s">
        <v>28</v>
      </c>
    </row>
    <row r="4" spans="1:22" x14ac:dyDescent="0.3">
      <c r="A4">
        <v>23</v>
      </c>
      <c r="B4">
        <v>19</v>
      </c>
      <c r="C4">
        <v>52257.34</v>
      </c>
      <c r="D4" t="s">
        <v>7</v>
      </c>
      <c r="E4" t="s">
        <v>12</v>
      </c>
      <c r="F4" t="s">
        <v>14</v>
      </c>
      <c r="G4">
        <v>3</v>
      </c>
      <c r="H4" t="s">
        <v>18</v>
      </c>
      <c r="I4">
        <v>2</v>
      </c>
      <c r="J4">
        <v>0.86512240081654646</v>
      </c>
      <c r="L4">
        <v>-1.5638826588250365</v>
      </c>
      <c r="M4">
        <v>8.2166877532767302E-2</v>
      </c>
      <c r="N4">
        <v>1.1869565217391307</v>
      </c>
      <c r="O4">
        <v>-0.15974400878586156</v>
      </c>
      <c r="R4">
        <v>1.3322676295501878E-15</v>
      </c>
      <c r="S4">
        <v>3.5717722919911874</v>
      </c>
      <c r="T4">
        <v>2.5258067789783203</v>
      </c>
      <c r="U4">
        <v>3.1298620527960286</v>
      </c>
      <c r="V4" t="s">
        <v>28</v>
      </c>
    </row>
    <row r="5" spans="1:22" x14ac:dyDescent="0.3">
      <c r="A5">
        <v>18</v>
      </c>
      <c r="B5">
        <v>19</v>
      </c>
      <c r="C5">
        <v>61041.84</v>
      </c>
      <c r="D5" t="s">
        <v>8</v>
      </c>
      <c r="E5" t="s">
        <v>11</v>
      </c>
      <c r="F5" t="s">
        <v>14</v>
      </c>
      <c r="G5">
        <v>3</v>
      </c>
      <c r="H5" t="s">
        <v>18</v>
      </c>
      <c r="I5">
        <v>2</v>
      </c>
      <c r="J5">
        <v>0.11271485371364631</v>
      </c>
      <c r="L5">
        <v>-1.5638826588250365</v>
      </c>
      <c r="M5">
        <v>0.66913686214815449</v>
      </c>
      <c r="N5">
        <v>1.1869565217391307</v>
      </c>
      <c r="O5">
        <v>-0.15974400878586156</v>
      </c>
      <c r="R5">
        <v>0.58696998461538585</v>
      </c>
      <c r="S5">
        <v>3.3099608530764724</v>
      </c>
      <c r="T5">
        <v>2.7381432895362714</v>
      </c>
      <c r="U5">
        <v>3.3722817817719877</v>
      </c>
      <c r="V5" t="s">
        <v>28</v>
      </c>
    </row>
    <row r="6" spans="1:22" x14ac:dyDescent="0.3">
      <c r="A6">
        <v>62</v>
      </c>
      <c r="B6">
        <v>21</v>
      </c>
      <c r="C6">
        <v>65074.8</v>
      </c>
      <c r="D6" t="s">
        <v>8</v>
      </c>
      <c r="E6" t="s">
        <v>11</v>
      </c>
      <c r="F6" t="s">
        <v>14</v>
      </c>
      <c r="G6">
        <v>3</v>
      </c>
      <c r="H6" t="s">
        <v>16</v>
      </c>
      <c r="I6">
        <v>3</v>
      </c>
      <c r="J6">
        <v>0.61837759783447521</v>
      </c>
      <c r="L6">
        <v>-1.4209317759342655</v>
      </c>
      <c r="M6">
        <v>0.93861451815071295</v>
      </c>
      <c r="N6">
        <v>1.1869565217391307</v>
      </c>
      <c r="O6">
        <v>0.98128462539886296</v>
      </c>
      <c r="R6">
        <v>1.4338353671425292</v>
      </c>
      <c r="S6">
        <v>3.7361453189956446</v>
      </c>
      <c r="T6">
        <v>2.543505583661525</v>
      </c>
      <c r="U6">
        <v>3.5906852561306186</v>
      </c>
      <c r="V6" t="s">
        <v>28</v>
      </c>
    </row>
    <row r="7" spans="1:22" x14ac:dyDescent="0.3">
      <c r="A7">
        <v>64</v>
      </c>
      <c r="B7">
        <v>23</v>
      </c>
      <c r="C7">
        <v>48737.52</v>
      </c>
      <c r="D7" t="s">
        <v>7</v>
      </c>
      <c r="E7" t="s">
        <v>10</v>
      </c>
      <c r="F7" t="s">
        <v>14</v>
      </c>
      <c r="G7">
        <v>3</v>
      </c>
      <c r="H7" t="s">
        <v>17</v>
      </c>
      <c r="I7">
        <v>1</v>
      </c>
      <c r="J7">
        <v>0.10449640962755635</v>
      </c>
      <c r="L7">
        <v>-1.2779808930434944</v>
      </c>
      <c r="M7">
        <v>-0.1530233656511284</v>
      </c>
      <c r="N7">
        <v>1.1869565217391307</v>
      </c>
      <c r="O7">
        <v>-1.3007726429705861</v>
      </c>
      <c r="R7">
        <v>1.1995835169738549</v>
      </c>
      <c r="S7">
        <v>3.4349261394361168</v>
      </c>
      <c r="T7">
        <v>3.0219046098939732</v>
      </c>
      <c r="U7">
        <v>3.0379796995958777</v>
      </c>
      <c r="V7" t="s">
        <v>28</v>
      </c>
    </row>
    <row r="8" spans="1:22" x14ac:dyDescent="0.3">
      <c r="A8">
        <v>39</v>
      </c>
      <c r="B8">
        <v>24</v>
      </c>
      <c r="C8">
        <v>64439.62</v>
      </c>
      <c r="D8" t="s">
        <v>7</v>
      </c>
      <c r="E8" t="s">
        <v>12</v>
      </c>
      <c r="F8" t="s">
        <v>14</v>
      </c>
      <c r="G8">
        <v>3</v>
      </c>
      <c r="H8" t="s">
        <v>16</v>
      </c>
      <c r="I8">
        <v>3</v>
      </c>
      <c r="J8">
        <v>0.66922805835894772</v>
      </c>
      <c r="L8">
        <v>-1.2065054515981086</v>
      </c>
      <c r="M8">
        <v>0.89617253570117095</v>
      </c>
      <c r="N8">
        <v>1.1869565217391307</v>
      </c>
      <c r="O8">
        <v>0.98128462539886296</v>
      </c>
      <c r="R8">
        <v>1.4464681205629628</v>
      </c>
      <c r="S8">
        <v>3.6959326021142918</v>
      </c>
      <c r="T8">
        <v>2.390447887331888</v>
      </c>
      <c r="U8">
        <v>3.4214332281735742</v>
      </c>
      <c r="V8" t="s">
        <v>28</v>
      </c>
    </row>
    <row r="9" spans="1:22" x14ac:dyDescent="0.3">
      <c r="A9">
        <v>96</v>
      </c>
      <c r="B9">
        <v>24</v>
      </c>
      <c r="C9">
        <v>63099.75</v>
      </c>
      <c r="D9" t="s">
        <v>7</v>
      </c>
      <c r="E9" t="s">
        <v>12</v>
      </c>
      <c r="F9" t="s">
        <v>15</v>
      </c>
      <c r="G9">
        <v>2</v>
      </c>
      <c r="H9" t="s">
        <v>16</v>
      </c>
      <c r="I9">
        <v>3</v>
      </c>
      <c r="J9">
        <v>0.88063086929734102</v>
      </c>
      <c r="L9">
        <v>-1.2065054515981086</v>
      </c>
      <c r="M9">
        <v>0.80664399414654409</v>
      </c>
      <c r="N9">
        <v>-0.11739130434782591</v>
      </c>
      <c r="O9">
        <v>0.98128462539886296</v>
      </c>
      <c r="R9">
        <v>1.9120290678202452</v>
      </c>
      <c r="S9">
        <v>2.9572910230419271</v>
      </c>
      <c r="T9">
        <v>1.938361915595683</v>
      </c>
      <c r="U9">
        <v>3.1111532871765157</v>
      </c>
      <c r="V9" t="s">
        <v>28</v>
      </c>
    </row>
    <row r="10" spans="1:22" x14ac:dyDescent="0.3">
      <c r="A10">
        <v>77</v>
      </c>
      <c r="B10">
        <v>25</v>
      </c>
      <c r="C10">
        <v>49318.96</v>
      </c>
      <c r="D10" t="s">
        <v>7</v>
      </c>
      <c r="E10" t="s">
        <v>9</v>
      </c>
      <c r="F10" t="s">
        <v>15</v>
      </c>
      <c r="G10">
        <v>2</v>
      </c>
      <c r="H10" t="s">
        <v>17</v>
      </c>
      <c r="I10">
        <v>1</v>
      </c>
      <c r="J10">
        <v>0.19704964748151343</v>
      </c>
      <c r="L10">
        <v>-1.1350300101527231</v>
      </c>
      <c r="M10">
        <v>-0.11417222695743245</v>
      </c>
      <c r="N10">
        <v>-0.11739130434782591</v>
      </c>
      <c r="O10">
        <v>-1.3007726429705861</v>
      </c>
      <c r="R10">
        <v>1.7960326371401218</v>
      </c>
      <c r="S10">
        <v>2.5121980606243479</v>
      </c>
      <c r="T10">
        <v>2.6602127576060179</v>
      </c>
      <c r="U10">
        <v>2.634167753310297</v>
      </c>
      <c r="V10" t="s">
        <v>28</v>
      </c>
    </row>
    <row r="11" spans="1:22" x14ac:dyDescent="0.3">
      <c r="A11">
        <v>55</v>
      </c>
      <c r="B11">
        <v>25</v>
      </c>
      <c r="C11">
        <v>54519.839999999997</v>
      </c>
      <c r="D11" t="s">
        <v>8</v>
      </c>
      <c r="E11" t="s">
        <v>10</v>
      </c>
      <c r="F11" t="s">
        <v>14</v>
      </c>
      <c r="G11">
        <v>3</v>
      </c>
      <c r="H11" t="s">
        <v>16</v>
      </c>
      <c r="I11">
        <v>3</v>
      </c>
      <c r="J11">
        <v>8.1868228310172486E-2</v>
      </c>
      <c r="L11">
        <v>-1.1350300101527231</v>
      </c>
      <c r="M11">
        <v>0.23334447331992803</v>
      </c>
      <c r="N11">
        <v>1.1869565217391307</v>
      </c>
      <c r="O11">
        <v>0.98128462539886296</v>
      </c>
      <c r="R11">
        <v>1.2282978481503182</v>
      </c>
      <c r="S11">
        <v>3.9161854280108654</v>
      </c>
      <c r="T11">
        <v>2.0030843727774461</v>
      </c>
      <c r="U11">
        <v>3.0583831283594876</v>
      </c>
      <c r="V11" t="s">
        <v>28</v>
      </c>
    </row>
    <row r="12" spans="1:22" x14ac:dyDescent="0.3">
      <c r="A12">
        <v>47</v>
      </c>
      <c r="B12">
        <v>26</v>
      </c>
      <c r="C12">
        <v>36945.43</v>
      </c>
      <c r="D12" t="s">
        <v>7</v>
      </c>
      <c r="E12" t="s">
        <v>12</v>
      </c>
      <c r="F12" t="s">
        <v>14</v>
      </c>
      <c r="G12">
        <v>3</v>
      </c>
      <c r="H12" t="s">
        <v>16</v>
      </c>
      <c r="I12">
        <v>3</v>
      </c>
      <c r="J12">
        <v>0.30500677433195167</v>
      </c>
      <c r="L12">
        <v>-1.0635545687073376</v>
      </c>
      <c r="M12">
        <v>-0.94095698576419784</v>
      </c>
      <c r="N12">
        <v>1.1869565217391307</v>
      </c>
      <c r="O12">
        <v>0.98128462539886296</v>
      </c>
      <c r="R12">
        <v>1.6121591054973425</v>
      </c>
      <c r="S12">
        <v>4.5340039996315538</v>
      </c>
      <c r="T12">
        <v>1.819506167135269</v>
      </c>
      <c r="U12">
        <v>2.7571389418214225</v>
      </c>
      <c r="V12" t="s">
        <v>28</v>
      </c>
    </row>
    <row r="13" spans="1:22" x14ac:dyDescent="0.3">
      <c r="A13">
        <v>41</v>
      </c>
      <c r="B13">
        <v>26</v>
      </c>
      <c r="C13">
        <v>38389.360000000001</v>
      </c>
      <c r="D13" t="s">
        <v>7</v>
      </c>
      <c r="E13" t="s">
        <v>12</v>
      </c>
      <c r="F13" t="s">
        <v>14</v>
      </c>
      <c r="G13">
        <v>3</v>
      </c>
      <c r="H13" t="s">
        <v>18</v>
      </c>
      <c r="I13">
        <v>2</v>
      </c>
      <c r="J13">
        <v>0.57708424556456761</v>
      </c>
      <c r="L13">
        <v>-1.0635545687073376</v>
      </c>
      <c r="M13">
        <v>-0.84447527708576464</v>
      </c>
      <c r="N13">
        <v>1.1869565217391307</v>
      </c>
      <c r="O13">
        <v>-0.15974400878586156</v>
      </c>
      <c r="R13">
        <v>1.0530877838418324</v>
      </c>
      <c r="S13">
        <v>4.0137827570363882</v>
      </c>
      <c r="T13">
        <v>2.1334301626521199</v>
      </c>
      <c r="U13">
        <v>2.5128095732502094</v>
      </c>
      <c r="V13" t="s">
        <v>28</v>
      </c>
    </row>
    <row r="14" spans="1:22" x14ac:dyDescent="0.3">
      <c r="A14">
        <v>97</v>
      </c>
      <c r="B14">
        <v>26</v>
      </c>
      <c r="C14">
        <v>53084.75</v>
      </c>
      <c r="D14" t="s">
        <v>8</v>
      </c>
      <c r="E14" t="s">
        <v>9</v>
      </c>
      <c r="F14" t="s">
        <v>15</v>
      </c>
      <c r="G14">
        <v>2</v>
      </c>
      <c r="H14" t="s">
        <v>17</v>
      </c>
      <c r="I14">
        <v>1</v>
      </c>
      <c r="J14">
        <v>0.46286100620836546</v>
      </c>
      <c r="L14">
        <v>-1.0635545687073376</v>
      </c>
      <c r="M14">
        <v>0.13745344307100163</v>
      </c>
      <c r="N14">
        <v>-0.11739130434782591</v>
      </c>
      <c r="O14">
        <v>-1.3007726429705861</v>
      </c>
      <c r="R14">
        <v>1.8046202917891248</v>
      </c>
      <c r="S14">
        <v>2.2931449426599251</v>
      </c>
      <c r="T14">
        <v>2.6821430448321157</v>
      </c>
      <c r="U14">
        <v>2.6682827010973336</v>
      </c>
      <c r="V14" t="s">
        <v>28</v>
      </c>
    </row>
    <row r="15" spans="1:22" x14ac:dyDescent="0.3">
      <c r="A15">
        <v>72</v>
      </c>
      <c r="B15">
        <v>27</v>
      </c>
      <c r="C15">
        <v>52529.89</v>
      </c>
      <c r="D15" t="s">
        <v>8</v>
      </c>
      <c r="E15" t="s">
        <v>10</v>
      </c>
      <c r="F15" t="s">
        <v>14</v>
      </c>
      <c r="G15">
        <v>3</v>
      </c>
      <c r="H15" t="s">
        <v>16</v>
      </c>
      <c r="I15">
        <v>3</v>
      </c>
      <c r="J15">
        <v>0.64808375779960026</v>
      </c>
      <c r="L15">
        <v>-0.99207912726195202</v>
      </c>
      <c r="M15">
        <v>0.1003783487954374</v>
      </c>
      <c r="N15">
        <v>1.1869565217391307</v>
      </c>
      <c r="O15">
        <v>0.98128462539886296</v>
      </c>
      <c r="R15">
        <v>1.2764157944897987</v>
      </c>
      <c r="S15">
        <v>3.9517413992260475</v>
      </c>
      <c r="T15">
        <v>1.8620628718821182</v>
      </c>
      <c r="U15">
        <v>2.9050156421314783</v>
      </c>
      <c r="V15" t="s">
        <v>28</v>
      </c>
    </row>
    <row r="16" spans="1:22" x14ac:dyDescent="0.3">
      <c r="A16">
        <v>11</v>
      </c>
      <c r="B16">
        <v>28</v>
      </c>
      <c r="C16">
        <v>64250.080000000002</v>
      </c>
      <c r="D16" t="s">
        <v>7</v>
      </c>
      <c r="E16" t="s">
        <v>12</v>
      </c>
      <c r="F16" t="s">
        <v>14</v>
      </c>
      <c r="G16">
        <v>3</v>
      </c>
      <c r="H16" t="s">
        <v>16</v>
      </c>
      <c r="I16">
        <v>3</v>
      </c>
      <c r="J16">
        <v>0.25651834509318838</v>
      </c>
      <c r="L16">
        <v>-0.92060368581656637</v>
      </c>
      <c r="M16">
        <v>0.88350769525675166</v>
      </c>
      <c r="N16">
        <v>1.1869565217391307</v>
      </c>
      <c r="O16">
        <v>0.98128462539886296</v>
      </c>
      <c r="R16">
        <v>1.535545924840684</v>
      </c>
      <c r="S16">
        <v>3.6493752034058655</v>
      </c>
      <c r="T16">
        <v>2.232109221825521</v>
      </c>
      <c r="U16">
        <v>3.2300268853323097</v>
      </c>
      <c r="V16" t="s">
        <v>28</v>
      </c>
    </row>
    <row r="17" spans="1:22" x14ac:dyDescent="0.3">
      <c r="A17">
        <v>78</v>
      </c>
      <c r="B17">
        <v>31</v>
      </c>
      <c r="C17">
        <v>53254.05</v>
      </c>
      <c r="D17" t="s">
        <v>8</v>
      </c>
      <c r="E17" t="s">
        <v>12</v>
      </c>
      <c r="F17" t="s">
        <v>15</v>
      </c>
      <c r="G17">
        <v>2</v>
      </c>
      <c r="H17" t="s">
        <v>17</v>
      </c>
      <c r="I17">
        <v>1</v>
      </c>
      <c r="J17">
        <v>0.9618434257400218</v>
      </c>
      <c r="L17">
        <v>-0.70617736148040966</v>
      </c>
      <c r="M17">
        <v>0.14876587045962783</v>
      </c>
      <c r="N17">
        <v>-0.11739130434782591</v>
      </c>
      <c r="O17">
        <v>-1.3007726429705861</v>
      </c>
      <c r="R17">
        <v>1.9347773511179869</v>
      </c>
      <c r="S17">
        <v>2.2105340413460794</v>
      </c>
      <c r="T17">
        <v>2.5435024048541535</v>
      </c>
      <c r="U17">
        <v>2.3958185567535177</v>
      </c>
      <c r="V17" t="s">
        <v>28</v>
      </c>
    </row>
    <row r="18" spans="1:22" x14ac:dyDescent="0.3">
      <c r="A18">
        <v>58</v>
      </c>
      <c r="B18">
        <v>31</v>
      </c>
      <c r="C18">
        <v>47802.91</v>
      </c>
      <c r="D18" t="s">
        <v>8</v>
      </c>
      <c r="E18" t="s">
        <v>12</v>
      </c>
      <c r="F18" t="s">
        <v>14</v>
      </c>
      <c r="G18">
        <v>3</v>
      </c>
      <c r="H18" t="s">
        <v>16</v>
      </c>
      <c r="I18">
        <v>3</v>
      </c>
      <c r="J18">
        <v>0.62592132897627062</v>
      </c>
      <c r="L18">
        <v>-0.70617736148040966</v>
      </c>
      <c r="M18">
        <v>-0.21547290942953162</v>
      </c>
      <c r="N18">
        <v>1.1869565217391307</v>
      </c>
      <c r="O18">
        <v>0.98128462539886296</v>
      </c>
      <c r="R18">
        <v>1.4581475110239897</v>
      </c>
      <c r="S18">
        <v>4.0760526938398396</v>
      </c>
      <c r="T18">
        <v>1.6022788063654545</v>
      </c>
      <c r="U18">
        <v>2.6002105708491237</v>
      </c>
      <c r="V18" t="s">
        <v>28</v>
      </c>
    </row>
    <row r="19" spans="1:22" x14ac:dyDescent="0.3">
      <c r="A19">
        <v>3</v>
      </c>
      <c r="B19">
        <v>32</v>
      </c>
      <c r="C19">
        <v>57140.639999999999</v>
      </c>
      <c r="D19" t="s">
        <v>7</v>
      </c>
      <c r="E19" t="s">
        <v>9</v>
      </c>
      <c r="F19" t="s">
        <v>15</v>
      </c>
      <c r="G19">
        <v>2</v>
      </c>
      <c r="H19" t="s">
        <v>17</v>
      </c>
      <c r="I19">
        <v>1</v>
      </c>
      <c r="J19">
        <v>0.25390195445629704</v>
      </c>
      <c r="L19">
        <v>-0.63470192003502413</v>
      </c>
      <c r="M19">
        <v>0.40846325477362583</v>
      </c>
      <c r="N19">
        <v>-0.11739130434782591</v>
      </c>
      <c r="O19">
        <v>-1.3007726429705861</v>
      </c>
      <c r="R19">
        <v>1.9932676103790201</v>
      </c>
      <c r="S19">
        <v>2.0007879540972606</v>
      </c>
      <c r="T19">
        <v>2.6069191916674677</v>
      </c>
      <c r="U19">
        <v>2.4772178935123779</v>
      </c>
      <c r="V19" t="s">
        <v>28</v>
      </c>
    </row>
    <row r="20" spans="1:22" x14ac:dyDescent="0.3">
      <c r="A20">
        <v>76</v>
      </c>
      <c r="B20">
        <v>32</v>
      </c>
      <c r="C20">
        <v>71019.820000000007</v>
      </c>
      <c r="D20" t="s">
        <v>8</v>
      </c>
      <c r="E20" t="s">
        <v>11</v>
      </c>
      <c r="F20" t="s">
        <v>14</v>
      </c>
      <c r="G20">
        <v>3</v>
      </c>
      <c r="H20" t="s">
        <v>16</v>
      </c>
      <c r="I20">
        <v>3</v>
      </c>
      <c r="J20">
        <v>0.70069532113934874</v>
      </c>
      <c r="L20">
        <v>-0.63470192003502413</v>
      </c>
      <c r="M20">
        <v>1.3358537802530719</v>
      </c>
      <c r="N20">
        <v>1.1869565217391307</v>
      </c>
      <c r="O20">
        <v>0.98128462539886296</v>
      </c>
      <c r="R20">
        <v>1.9331461505587824</v>
      </c>
      <c r="S20">
        <v>3.5198259006707016</v>
      </c>
      <c r="T20">
        <v>2.4446771090001365</v>
      </c>
      <c r="U20">
        <v>3.3539909669584578</v>
      </c>
      <c r="V20" t="s">
        <v>28</v>
      </c>
    </row>
    <row r="21" spans="1:22" x14ac:dyDescent="0.3">
      <c r="A21">
        <v>33</v>
      </c>
      <c r="B21">
        <v>33</v>
      </c>
      <c r="C21">
        <v>54395.89</v>
      </c>
      <c r="D21" t="s">
        <v>8</v>
      </c>
      <c r="E21" t="s">
        <v>9</v>
      </c>
      <c r="F21" t="s">
        <v>14</v>
      </c>
      <c r="G21">
        <v>3</v>
      </c>
      <c r="H21" t="s">
        <v>18</v>
      </c>
      <c r="I21">
        <v>2</v>
      </c>
      <c r="J21">
        <v>0.27380897898299128</v>
      </c>
      <c r="L21">
        <v>-0.56322647858963848</v>
      </c>
      <c r="M21">
        <v>0.22506227972973217</v>
      </c>
      <c r="N21">
        <v>1.1869565217391307</v>
      </c>
      <c r="O21">
        <v>-0.15974400878586156</v>
      </c>
      <c r="R21">
        <v>1.0108075420238658</v>
      </c>
      <c r="S21">
        <v>3.3118089542972799</v>
      </c>
      <c r="T21">
        <v>2.0387718017575058</v>
      </c>
      <c r="U21">
        <v>2.4134976132262658</v>
      </c>
      <c r="V21" t="s">
        <v>28</v>
      </c>
    </row>
    <row r="22" spans="1:22" x14ac:dyDescent="0.3">
      <c r="A22">
        <v>59</v>
      </c>
      <c r="B22">
        <v>34</v>
      </c>
      <c r="C22">
        <v>37309.74</v>
      </c>
      <c r="D22" t="s">
        <v>7</v>
      </c>
      <c r="E22" t="s">
        <v>12</v>
      </c>
      <c r="F22" t="s">
        <v>14</v>
      </c>
      <c r="G22">
        <v>3</v>
      </c>
      <c r="H22" t="s">
        <v>17</v>
      </c>
      <c r="I22">
        <v>1</v>
      </c>
      <c r="J22">
        <v>0.38252957041894065</v>
      </c>
      <c r="L22">
        <v>-0.49175103714425294</v>
      </c>
      <c r="M22">
        <v>-0.91661421894818895</v>
      </c>
      <c r="N22">
        <v>1.1869565217391307</v>
      </c>
      <c r="O22">
        <v>-1.3007726429705861</v>
      </c>
      <c r="R22">
        <v>1.8571419538971783</v>
      </c>
      <c r="S22">
        <v>3.8473991131212602</v>
      </c>
      <c r="T22">
        <v>2.7273829079781269</v>
      </c>
      <c r="U22">
        <v>2.3406073170499306</v>
      </c>
      <c r="V22" t="s">
        <v>28</v>
      </c>
    </row>
    <row r="23" spans="1:22" x14ac:dyDescent="0.3">
      <c r="A23">
        <v>50</v>
      </c>
      <c r="B23">
        <v>37</v>
      </c>
      <c r="C23">
        <v>94154.95</v>
      </c>
      <c r="D23" t="s">
        <v>7</v>
      </c>
      <c r="E23" t="s">
        <v>9</v>
      </c>
      <c r="F23" t="s">
        <v>14</v>
      </c>
      <c r="G23">
        <v>3</v>
      </c>
      <c r="H23" t="s">
        <v>16</v>
      </c>
      <c r="I23">
        <v>3</v>
      </c>
      <c r="J23">
        <v>0.71244577169011791</v>
      </c>
      <c r="L23">
        <v>-0.27732471280809623</v>
      </c>
      <c r="M23">
        <v>2.8817160262744705</v>
      </c>
      <c r="N23">
        <v>1.1869565217391307</v>
      </c>
      <c r="O23">
        <v>0.98128462539886296</v>
      </c>
      <c r="R23">
        <v>3.2855217437583906</v>
      </c>
      <c r="S23">
        <v>3.6023526371301511</v>
      </c>
      <c r="T23">
        <v>3.7207873116306014</v>
      </c>
      <c r="U23">
        <v>4.4340164195589011</v>
      </c>
      <c r="V23" t="s">
        <v>28</v>
      </c>
    </row>
    <row r="24" spans="1:22" x14ac:dyDescent="0.3">
      <c r="A24">
        <v>6</v>
      </c>
      <c r="B24">
        <v>38</v>
      </c>
      <c r="C24">
        <v>58955.67</v>
      </c>
      <c r="D24" t="s">
        <v>7</v>
      </c>
      <c r="E24" t="s">
        <v>11</v>
      </c>
      <c r="F24" t="s">
        <v>14</v>
      </c>
      <c r="G24">
        <v>3</v>
      </c>
      <c r="H24" t="s">
        <v>17</v>
      </c>
      <c r="I24">
        <v>1</v>
      </c>
      <c r="J24">
        <v>5.6982418248163746E-4</v>
      </c>
      <c r="L24">
        <v>-0.20584927136271064</v>
      </c>
      <c r="M24">
        <v>0.52974143010249664</v>
      </c>
      <c r="N24">
        <v>1.1869565217391307</v>
      </c>
      <c r="O24">
        <v>-1.3007726429705861</v>
      </c>
      <c r="R24">
        <v>1.8293507060156207</v>
      </c>
      <c r="S24">
        <v>2.9593112948982636</v>
      </c>
      <c r="T24">
        <v>2.8741122380956505</v>
      </c>
      <c r="U24">
        <v>2.6265712902349967</v>
      </c>
      <c r="V24" t="s">
        <v>28</v>
      </c>
    </row>
    <row r="25" spans="1:22" x14ac:dyDescent="0.3">
      <c r="A25">
        <v>45</v>
      </c>
      <c r="B25">
        <v>42</v>
      </c>
      <c r="C25">
        <v>62748.82</v>
      </c>
      <c r="D25" t="s">
        <v>8</v>
      </c>
      <c r="E25" t="s">
        <v>10</v>
      </c>
      <c r="F25" t="s">
        <v>14</v>
      </c>
      <c r="G25">
        <v>3</v>
      </c>
      <c r="H25" t="s">
        <v>17</v>
      </c>
      <c r="I25">
        <v>1</v>
      </c>
      <c r="J25">
        <v>0.21609605872411275</v>
      </c>
      <c r="L25">
        <v>8.0052494418831666E-2</v>
      </c>
      <c r="M25">
        <v>0.78319526323401878</v>
      </c>
      <c r="N25">
        <v>1.1869565217391307</v>
      </c>
      <c r="O25">
        <v>-1.3007726429705861</v>
      </c>
      <c r="R25">
        <v>2.1203560855807453</v>
      </c>
      <c r="S25">
        <v>2.8855223363060829</v>
      </c>
      <c r="T25">
        <v>2.9602187609676154</v>
      </c>
      <c r="U25">
        <v>2.6585579914104316</v>
      </c>
      <c r="V25" t="s">
        <v>28</v>
      </c>
    </row>
    <row r="26" spans="1:22" x14ac:dyDescent="0.3">
      <c r="A26">
        <v>88</v>
      </c>
      <c r="B26">
        <v>42</v>
      </c>
      <c r="C26">
        <v>59082.25</v>
      </c>
      <c r="D26" t="s">
        <v>8</v>
      </c>
      <c r="E26" t="s">
        <v>9</v>
      </c>
      <c r="F26" t="s">
        <v>14</v>
      </c>
      <c r="G26">
        <v>3</v>
      </c>
      <c r="H26" t="s">
        <v>18</v>
      </c>
      <c r="I26">
        <v>2</v>
      </c>
      <c r="J26">
        <v>0.73373583641731144</v>
      </c>
      <c r="L26">
        <v>8.0052494418831666E-2</v>
      </c>
      <c r="M26">
        <v>0.53819935720735368</v>
      </c>
      <c r="N26">
        <v>1.1869565217391307</v>
      </c>
      <c r="O26">
        <v>-0.15974400878586156</v>
      </c>
      <c r="R26">
        <v>1.7060153605958803</v>
      </c>
      <c r="S26">
        <v>3.2000836778051891</v>
      </c>
      <c r="T26">
        <v>2.0617605024504351</v>
      </c>
      <c r="U26">
        <v>2.2289914386862155</v>
      </c>
      <c r="V26" t="s">
        <v>28</v>
      </c>
    </row>
    <row r="27" spans="1:22" x14ac:dyDescent="0.3">
      <c r="A27">
        <v>69</v>
      </c>
      <c r="B27">
        <v>43</v>
      </c>
      <c r="C27">
        <v>79475.520000000004</v>
      </c>
      <c r="D27" t="s">
        <v>8</v>
      </c>
      <c r="E27" t="s">
        <v>12</v>
      </c>
      <c r="F27" t="s">
        <v>14</v>
      </c>
      <c r="G27">
        <v>3</v>
      </c>
      <c r="H27" t="s">
        <v>16</v>
      </c>
      <c r="I27">
        <v>3</v>
      </c>
      <c r="J27">
        <v>0.59921322827036461</v>
      </c>
      <c r="L27">
        <v>0.15152793586421723</v>
      </c>
      <c r="M27">
        <v>1.9008537345945058</v>
      </c>
      <c r="N27">
        <v>1.1869565217391307</v>
      </c>
      <c r="O27">
        <v>0.98128462539886296</v>
      </c>
      <c r="R27">
        <v>2.7481269505702781</v>
      </c>
      <c r="S27">
        <v>3.5128519786836803</v>
      </c>
      <c r="T27">
        <v>2.7997204305301455</v>
      </c>
      <c r="U27">
        <v>3.4772836290045119</v>
      </c>
      <c r="V27" t="s">
        <v>28</v>
      </c>
    </row>
    <row r="29" spans="1:22" x14ac:dyDescent="0.3">
      <c r="B29">
        <f>AVERAGE(B2:B27)</f>
        <v>28.615384615384617</v>
      </c>
      <c r="C29">
        <f>AVERAGE(C2:C27)</f>
        <v>56330.712307692309</v>
      </c>
    </row>
  </sheetData>
  <autoFilter ref="A1:U1" xr:uid="{C2288B73-5DD0-4D8F-BEB6-3505853F157E}">
    <sortState xmlns:xlrd2="http://schemas.microsoft.com/office/spreadsheetml/2017/richdata2" ref="A2:U27">
      <sortCondition ref="B1"/>
    </sortState>
  </autoFilter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C67C-8DCC-446D-BE0D-449A1CAC2FA8}">
  <dimension ref="A1:V16"/>
  <sheetViews>
    <sheetView workbookViewId="0">
      <selection activeCell="H10" sqref="H10:H14"/>
    </sheetView>
  </sheetViews>
  <sheetFormatPr defaultRowHeight="14.4" x14ac:dyDescent="0.3"/>
  <cols>
    <col min="1" max="22" width="13.77734375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</v>
      </c>
      <c r="H1" s="1" t="s">
        <v>6</v>
      </c>
      <c r="I1" s="2" t="s">
        <v>21</v>
      </c>
      <c r="J1" s="2" t="s">
        <v>19</v>
      </c>
      <c r="L1" s="3" t="s">
        <v>24</v>
      </c>
      <c r="M1" s="3" t="s">
        <v>25</v>
      </c>
      <c r="N1" s="4" t="s">
        <v>26</v>
      </c>
      <c r="O1" s="4" t="s">
        <v>27</v>
      </c>
      <c r="P1" s="4"/>
      <c r="R1" s="4" t="s">
        <v>28</v>
      </c>
      <c r="S1" s="4" t="s">
        <v>29</v>
      </c>
      <c r="T1" s="4" t="s">
        <v>30</v>
      </c>
      <c r="U1" s="4" t="s">
        <v>45</v>
      </c>
      <c r="V1" s="4" t="s">
        <v>32</v>
      </c>
    </row>
    <row r="2" spans="1:22" x14ac:dyDescent="0.3">
      <c r="A2">
        <v>92</v>
      </c>
      <c r="B2">
        <v>32</v>
      </c>
      <c r="C2">
        <v>59255.06</v>
      </c>
      <c r="D2" t="s">
        <v>7</v>
      </c>
      <c r="E2" t="s">
        <v>10</v>
      </c>
      <c r="F2" t="s">
        <v>15</v>
      </c>
      <c r="G2">
        <v>2</v>
      </c>
      <c r="H2" t="s">
        <v>17</v>
      </c>
      <c r="I2">
        <v>1</v>
      </c>
      <c r="J2">
        <v>0.91168257121794261</v>
      </c>
      <c r="L2">
        <v>-0.63470192003502413</v>
      </c>
      <c r="M2">
        <v>0.54974631867828361</v>
      </c>
      <c r="N2">
        <v>-0.11739130434782591</v>
      </c>
      <c r="O2">
        <v>-1.3007726429705861</v>
      </c>
      <c r="R2">
        <v>2.0212068114291353</v>
      </c>
      <c r="S2">
        <v>1.8970275308734901</v>
      </c>
      <c r="T2">
        <v>2.6635119893420711</v>
      </c>
      <c r="U2">
        <v>2.5583670614039939</v>
      </c>
      <c r="V2" t="s">
        <v>29</v>
      </c>
    </row>
    <row r="3" spans="1:22" x14ac:dyDescent="0.3">
      <c r="A3">
        <v>34</v>
      </c>
      <c r="B3">
        <v>32</v>
      </c>
      <c r="C3">
        <v>63449.46</v>
      </c>
      <c r="D3" t="s">
        <v>7</v>
      </c>
      <c r="E3" t="s">
        <v>10</v>
      </c>
      <c r="F3" t="s">
        <v>13</v>
      </c>
      <c r="G3">
        <v>1</v>
      </c>
      <c r="H3" t="s">
        <v>18</v>
      </c>
      <c r="I3">
        <v>2</v>
      </c>
      <c r="J3">
        <v>0.7887842979395665</v>
      </c>
      <c r="L3">
        <v>-0.63470192003502413</v>
      </c>
      <c r="M3">
        <v>0.83001120609029111</v>
      </c>
      <c r="N3">
        <v>-1.4217391304347826</v>
      </c>
      <c r="O3">
        <v>-0.15974400878586156</v>
      </c>
      <c r="R3">
        <v>2.8684387723577234</v>
      </c>
      <c r="S3">
        <v>1.5859354433939636</v>
      </c>
      <c r="T3">
        <v>2.3663482571694416</v>
      </c>
      <c r="U3">
        <v>2.8059535258329813</v>
      </c>
      <c r="V3" t="s">
        <v>29</v>
      </c>
    </row>
    <row r="4" spans="1:22" x14ac:dyDescent="0.3">
      <c r="A4">
        <v>84</v>
      </c>
      <c r="B4">
        <v>35</v>
      </c>
      <c r="C4">
        <v>56472.34</v>
      </c>
      <c r="D4" t="s">
        <v>8</v>
      </c>
      <c r="E4" t="s">
        <v>11</v>
      </c>
      <c r="F4" t="s">
        <v>13</v>
      </c>
      <c r="G4">
        <v>1</v>
      </c>
      <c r="H4" t="s">
        <v>17</v>
      </c>
      <c r="I4">
        <v>1</v>
      </c>
      <c r="J4">
        <v>0.65076650540631131</v>
      </c>
      <c r="L4">
        <v>-0.42027559569886735</v>
      </c>
      <c r="M4">
        <v>0.3638082327782402</v>
      </c>
      <c r="N4">
        <v>-1.4217391304347826</v>
      </c>
      <c r="O4">
        <v>-1.3007726429705861</v>
      </c>
      <c r="R4">
        <v>3.0812981545960634</v>
      </c>
      <c r="S4">
        <v>1.5466039349996252</v>
      </c>
      <c r="T4">
        <v>2.8495934525124351</v>
      </c>
      <c r="U4">
        <v>2.650924215940603</v>
      </c>
      <c r="V4" t="s">
        <v>29</v>
      </c>
    </row>
    <row r="5" spans="1:22" x14ac:dyDescent="0.3">
      <c r="A5">
        <v>68</v>
      </c>
      <c r="B5">
        <v>35</v>
      </c>
      <c r="C5">
        <v>79618.570000000007</v>
      </c>
      <c r="D5" t="s">
        <v>8</v>
      </c>
      <c r="E5" t="s">
        <v>11</v>
      </c>
      <c r="F5" t="s">
        <v>13</v>
      </c>
      <c r="G5">
        <v>1</v>
      </c>
      <c r="H5" t="s">
        <v>17</v>
      </c>
      <c r="I5">
        <v>1</v>
      </c>
      <c r="J5">
        <v>0.96674468624153354</v>
      </c>
      <c r="L5">
        <v>-0.42027559569886735</v>
      </c>
      <c r="M5">
        <v>1.9104121677778667</v>
      </c>
      <c r="N5">
        <v>-1.4217391304347826</v>
      </c>
      <c r="O5">
        <v>-1.3007726429705861</v>
      </c>
      <c r="R5">
        <v>3.5717722919911874</v>
      </c>
      <c r="S5">
        <v>1.3322676295501878E-15</v>
      </c>
      <c r="T5">
        <v>3.663417679005887</v>
      </c>
      <c r="U5">
        <v>3.679129654012451</v>
      </c>
      <c r="V5" t="s">
        <v>29</v>
      </c>
    </row>
    <row r="6" spans="1:22" x14ac:dyDescent="0.3">
      <c r="A6">
        <v>43</v>
      </c>
      <c r="B6">
        <v>35</v>
      </c>
      <c r="C6">
        <v>60861.25</v>
      </c>
      <c r="D6" t="s">
        <v>8</v>
      </c>
      <c r="E6" t="s">
        <v>12</v>
      </c>
      <c r="F6" t="s">
        <v>13</v>
      </c>
      <c r="G6">
        <v>1</v>
      </c>
      <c r="H6" t="s">
        <v>18</v>
      </c>
      <c r="I6">
        <v>2</v>
      </c>
      <c r="J6">
        <v>0.94801416294995855</v>
      </c>
      <c r="L6">
        <v>-0.42027559569886735</v>
      </c>
      <c r="M6">
        <v>0.6570700502041974</v>
      </c>
      <c r="N6">
        <v>-1.4217391304347826</v>
      </c>
      <c r="O6">
        <v>-0.15974400878586156</v>
      </c>
      <c r="R6">
        <v>2.905794861729027</v>
      </c>
      <c r="S6">
        <v>1.6949374052493811</v>
      </c>
      <c r="T6">
        <v>2.2026890725298491</v>
      </c>
      <c r="U6">
        <v>2.567495556928701</v>
      </c>
      <c r="V6" t="s">
        <v>29</v>
      </c>
    </row>
    <row r="7" spans="1:22" x14ac:dyDescent="0.3">
      <c r="A7">
        <v>12</v>
      </c>
      <c r="B7">
        <v>41</v>
      </c>
      <c r="C7">
        <v>75897.75</v>
      </c>
      <c r="D7" t="s">
        <v>7</v>
      </c>
      <c r="E7" t="s">
        <v>11</v>
      </c>
      <c r="F7" t="s">
        <v>15</v>
      </c>
      <c r="G7">
        <v>2</v>
      </c>
      <c r="H7" t="s">
        <v>17</v>
      </c>
      <c r="I7">
        <v>1</v>
      </c>
      <c r="J7">
        <v>0.9044381125057579</v>
      </c>
      <c r="L7">
        <v>8.5770529734460858E-3</v>
      </c>
      <c r="M7">
        <v>1.6617913403936526</v>
      </c>
      <c r="N7">
        <v>-0.11739130434782591</v>
      </c>
      <c r="O7">
        <v>-1.3007726429705861</v>
      </c>
      <c r="R7">
        <v>2.8233158846195603</v>
      </c>
      <c r="S7">
        <v>1.3953673930188564</v>
      </c>
      <c r="T7">
        <v>3.1996897661693464</v>
      </c>
      <c r="U7">
        <v>3.0597718737511865</v>
      </c>
      <c r="V7" t="s">
        <v>29</v>
      </c>
    </row>
    <row r="8" spans="1:22" x14ac:dyDescent="0.3">
      <c r="A8">
        <v>29</v>
      </c>
      <c r="B8">
        <v>42</v>
      </c>
      <c r="C8">
        <v>63090.58</v>
      </c>
      <c r="D8" t="s">
        <v>8</v>
      </c>
      <c r="E8" t="s">
        <v>9</v>
      </c>
      <c r="F8" t="s">
        <v>15</v>
      </c>
      <c r="G8">
        <v>2</v>
      </c>
      <c r="H8" t="s">
        <v>17</v>
      </c>
      <c r="I8">
        <v>1</v>
      </c>
      <c r="J8">
        <v>0.54458712928338615</v>
      </c>
      <c r="L8">
        <v>8.0052494418831666E-2</v>
      </c>
      <c r="M8">
        <v>0.80603126550417148</v>
      </c>
      <c r="N8">
        <v>-0.11739130434782591</v>
      </c>
      <c r="O8">
        <v>-1.3007726429705861</v>
      </c>
      <c r="R8">
        <v>2.4959511284661366</v>
      </c>
      <c r="S8">
        <v>1.7808168424870237</v>
      </c>
      <c r="T8">
        <v>2.6691181657783569</v>
      </c>
      <c r="U8">
        <v>2.3338950063855659</v>
      </c>
      <c r="V8" t="s">
        <v>29</v>
      </c>
    </row>
    <row r="9" spans="1:22" x14ac:dyDescent="0.3">
      <c r="A9">
        <v>87</v>
      </c>
      <c r="B9">
        <v>43</v>
      </c>
      <c r="C9">
        <v>63312.67</v>
      </c>
      <c r="D9" t="s">
        <v>7</v>
      </c>
      <c r="E9" t="s">
        <v>12</v>
      </c>
      <c r="F9" t="s">
        <v>15</v>
      </c>
      <c r="G9">
        <v>2</v>
      </c>
      <c r="H9" t="s">
        <v>17</v>
      </c>
      <c r="I9">
        <v>1</v>
      </c>
      <c r="J9">
        <v>0.60943613086781823</v>
      </c>
      <c r="L9">
        <v>0.15152793586421723</v>
      </c>
      <c r="M9">
        <v>0.8208710587631195</v>
      </c>
      <c r="N9">
        <v>-0.11739130434782591</v>
      </c>
      <c r="O9">
        <v>-1.3007726429705861</v>
      </c>
      <c r="R9">
        <v>2.5478592918735856</v>
      </c>
      <c r="S9">
        <v>1.7931487273393882</v>
      </c>
      <c r="T9">
        <v>2.675880266354246</v>
      </c>
      <c r="U9">
        <v>2.3155937481131756</v>
      </c>
      <c r="V9" t="s">
        <v>29</v>
      </c>
    </row>
    <row r="10" spans="1:22" x14ac:dyDescent="0.3">
      <c r="A10">
        <v>30</v>
      </c>
      <c r="B10">
        <v>44</v>
      </c>
      <c r="C10">
        <v>84308.39</v>
      </c>
      <c r="D10" t="s">
        <v>7</v>
      </c>
      <c r="E10" t="s">
        <v>10</v>
      </c>
      <c r="F10" t="s">
        <v>15</v>
      </c>
      <c r="G10">
        <v>2</v>
      </c>
      <c r="H10" t="s">
        <v>16</v>
      </c>
      <c r="I10">
        <v>3</v>
      </c>
      <c r="J10">
        <v>0.86247210320836576</v>
      </c>
      <c r="L10">
        <v>0.22300337730960282</v>
      </c>
      <c r="M10">
        <v>2.2237804383964481</v>
      </c>
      <c r="N10">
        <v>-0.11739130434782591</v>
      </c>
      <c r="O10">
        <v>0.98128462539886296</v>
      </c>
      <c r="R10">
        <v>3.2837082613495676</v>
      </c>
      <c r="S10">
        <v>2.7241725601879403</v>
      </c>
      <c r="T10">
        <v>2.8011581151861105</v>
      </c>
      <c r="U10">
        <v>3.4955664600938881</v>
      </c>
      <c r="V10" t="s">
        <v>29</v>
      </c>
    </row>
    <row r="11" spans="1:22" x14ac:dyDescent="0.3">
      <c r="A11">
        <v>25</v>
      </c>
      <c r="B11">
        <v>50</v>
      </c>
      <c r="C11">
        <v>89502.92</v>
      </c>
      <c r="D11" t="s">
        <v>7</v>
      </c>
      <c r="E11" t="s">
        <v>10</v>
      </c>
      <c r="F11" t="s">
        <v>13</v>
      </c>
      <c r="G11">
        <v>1</v>
      </c>
      <c r="H11" t="s">
        <v>16</v>
      </c>
      <c r="I11">
        <v>3</v>
      </c>
      <c r="J11">
        <v>0.51410914283962328</v>
      </c>
      <c r="L11">
        <v>0.65185602598191628</v>
      </c>
      <c r="M11">
        <v>2.5708728391232016</v>
      </c>
      <c r="N11">
        <v>-1.4217391304347826</v>
      </c>
      <c r="O11">
        <v>0.98128462539886296</v>
      </c>
      <c r="R11">
        <v>4.3829664192537843</v>
      </c>
      <c r="S11">
        <v>2.6064266513216197</v>
      </c>
      <c r="T11">
        <v>3.4434562423337556</v>
      </c>
      <c r="U11">
        <v>3.9628350252090669</v>
      </c>
      <c r="V11" t="s">
        <v>29</v>
      </c>
    </row>
    <row r="12" spans="1:22" x14ac:dyDescent="0.3">
      <c r="A12">
        <v>61</v>
      </c>
      <c r="B12">
        <v>57</v>
      </c>
      <c r="C12">
        <v>66300.91</v>
      </c>
      <c r="D12" t="s">
        <v>7</v>
      </c>
      <c r="E12" t="s">
        <v>9</v>
      </c>
      <c r="F12" t="s">
        <v>13</v>
      </c>
      <c r="G12">
        <v>1</v>
      </c>
      <c r="H12" t="s">
        <v>18</v>
      </c>
      <c r="I12">
        <v>2</v>
      </c>
      <c r="J12">
        <v>0.15826202670097322</v>
      </c>
      <c r="L12">
        <v>1.1521841160996154</v>
      </c>
      <c r="M12">
        <v>1.0205417499609211</v>
      </c>
      <c r="N12">
        <v>-1.4217391304347826</v>
      </c>
      <c r="O12">
        <v>-0.15974400878586156</v>
      </c>
      <c r="R12">
        <v>3.8810899413341646</v>
      </c>
      <c r="S12">
        <v>2.1369242498892018</v>
      </c>
      <c r="T12">
        <v>2.5602763445390528</v>
      </c>
      <c r="U12">
        <v>2.3784325273420936</v>
      </c>
      <c r="V12" t="s">
        <v>29</v>
      </c>
    </row>
    <row r="13" spans="1:22" x14ac:dyDescent="0.3">
      <c r="A13">
        <v>31</v>
      </c>
      <c r="B13">
        <v>59</v>
      </c>
      <c r="C13">
        <v>74343.81</v>
      </c>
      <c r="D13" t="s">
        <v>7</v>
      </c>
      <c r="E13" t="s">
        <v>11</v>
      </c>
      <c r="F13" t="s">
        <v>15</v>
      </c>
      <c r="G13">
        <v>2</v>
      </c>
      <c r="H13" t="s">
        <v>18</v>
      </c>
      <c r="I13">
        <v>2</v>
      </c>
      <c r="J13">
        <v>0.84850550106026434</v>
      </c>
      <c r="L13">
        <v>1.2951349989903864</v>
      </c>
      <c r="M13">
        <v>1.5579588925715526</v>
      </c>
      <c r="N13">
        <v>-0.11739130434782591</v>
      </c>
      <c r="O13">
        <v>-0.15974400878586156</v>
      </c>
      <c r="R13">
        <v>3.4717815730213202</v>
      </c>
      <c r="S13">
        <v>2.4637626539549267</v>
      </c>
      <c r="T13">
        <v>2.6768547783630279</v>
      </c>
      <c r="U13">
        <v>2.5340942630157262</v>
      </c>
      <c r="V13" t="s">
        <v>29</v>
      </c>
    </row>
    <row r="14" spans="1:22" x14ac:dyDescent="0.3">
      <c r="A14">
        <v>4</v>
      </c>
      <c r="B14">
        <v>60</v>
      </c>
      <c r="C14">
        <v>69554.92</v>
      </c>
      <c r="D14" t="s">
        <v>8</v>
      </c>
      <c r="E14" t="s">
        <v>10</v>
      </c>
      <c r="F14" t="s">
        <v>13</v>
      </c>
      <c r="G14">
        <v>1</v>
      </c>
      <c r="H14" t="s">
        <v>18</v>
      </c>
      <c r="I14">
        <v>2</v>
      </c>
      <c r="J14">
        <v>0.49763447884552781</v>
      </c>
      <c r="L14">
        <v>1.366610440435772</v>
      </c>
      <c r="M14">
        <v>1.2379708807752319</v>
      </c>
      <c r="N14">
        <v>-1.4217391304347826</v>
      </c>
      <c r="O14">
        <v>-0.15974400878586156</v>
      </c>
      <c r="R14">
        <v>4.0901058304642435</v>
      </c>
      <c r="S14">
        <v>2.2242044273465917</v>
      </c>
      <c r="T14">
        <v>2.7878082686174661</v>
      </c>
      <c r="U14">
        <v>2.5778221839096815</v>
      </c>
      <c r="V14" t="s">
        <v>29</v>
      </c>
    </row>
    <row r="16" spans="1:22" x14ac:dyDescent="0.3">
      <c r="B16">
        <f>AVERAGE(B2:B14)</f>
        <v>43.46153846153846</v>
      </c>
      <c r="C16">
        <f>AVERAGE(C2:C14)</f>
        <v>69689.894615384619</v>
      </c>
    </row>
  </sheetData>
  <autoFilter ref="A1:V1" xr:uid="{0752C67C-8DCC-446D-BE0D-449A1CAC2FA8}">
    <sortState xmlns:xlrd2="http://schemas.microsoft.com/office/spreadsheetml/2017/richdata2" ref="A2:V14">
      <sortCondition ref="B1"/>
    </sortState>
  </autoFilter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31981-A8CD-4BD2-B7E2-7ECDF6381697}">
  <dimension ref="A1:V37"/>
  <sheetViews>
    <sheetView topLeftCell="A25" workbookViewId="0">
      <selection activeCell="J42" sqref="J42"/>
    </sheetView>
  </sheetViews>
  <sheetFormatPr defaultRowHeight="14.4" x14ac:dyDescent="0.3"/>
  <cols>
    <col min="1" max="22" width="13.77734375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</v>
      </c>
      <c r="H1" s="1" t="s">
        <v>6</v>
      </c>
      <c r="I1" s="2" t="s">
        <v>21</v>
      </c>
      <c r="J1" s="2" t="s">
        <v>19</v>
      </c>
      <c r="L1" s="3" t="s">
        <v>24</v>
      </c>
      <c r="M1" s="3" t="s">
        <v>25</v>
      </c>
      <c r="N1" s="4" t="s">
        <v>26</v>
      </c>
      <c r="O1" s="4" t="s">
        <v>27</v>
      </c>
      <c r="P1" s="4"/>
      <c r="R1" s="4" t="s">
        <v>28</v>
      </c>
      <c r="S1" s="4" t="s">
        <v>29</v>
      </c>
      <c r="T1" s="4" t="s">
        <v>30</v>
      </c>
      <c r="U1" s="4" t="s">
        <v>45</v>
      </c>
      <c r="V1" s="4" t="s">
        <v>32</v>
      </c>
    </row>
    <row r="2" spans="1:22" x14ac:dyDescent="0.3">
      <c r="A2">
        <v>63</v>
      </c>
      <c r="B2">
        <v>19</v>
      </c>
      <c r="C2">
        <v>43373.51</v>
      </c>
      <c r="D2" t="s">
        <v>7</v>
      </c>
      <c r="E2" t="s">
        <v>11</v>
      </c>
      <c r="F2" t="s">
        <v>15</v>
      </c>
      <c r="G2">
        <v>2</v>
      </c>
      <c r="H2" t="s">
        <v>16</v>
      </c>
      <c r="I2">
        <v>3</v>
      </c>
      <c r="J2">
        <v>0.74055944772700066</v>
      </c>
      <c r="L2">
        <v>-1.5638826588250365</v>
      </c>
      <c r="M2">
        <v>-0.51144022115534371</v>
      </c>
      <c r="N2">
        <v>-0.11739130434782591</v>
      </c>
      <c r="O2">
        <v>0.98128462539886296</v>
      </c>
      <c r="R2">
        <v>1.8318403268462415</v>
      </c>
      <c r="S2">
        <v>3.752641034811238</v>
      </c>
      <c r="T2">
        <v>1.7166425988713614</v>
      </c>
      <c r="U2">
        <v>2.9160568000662486</v>
      </c>
      <c r="V2" t="s">
        <v>30</v>
      </c>
    </row>
    <row r="3" spans="1:22" x14ac:dyDescent="0.3">
      <c r="A3">
        <v>49</v>
      </c>
      <c r="B3">
        <v>19</v>
      </c>
      <c r="C3">
        <v>30350.74</v>
      </c>
      <c r="D3" t="s">
        <v>7</v>
      </c>
      <c r="E3" t="s">
        <v>12</v>
      </c>
      <c r="F3" t="s">
        <v>15</v>
      </c>
      <c r="G3">
        <v>2</v>
      </c>
      <c r="H3" t="s">
        <v>16</v>
      </c>
      <c r="I3">
        <v>3</v>
      </c>
      <c r="J3">
        <v>0.11688192095265526</v>
      </c>
      <c r="L3">
        <v>-1.5638826588250365</v>
      </c>
      <c r="M3">
        <v>-1.3816064351174049</v>
      </c>
      <c r="N3">
        <v>-0.11739130434782591</v>
      </c>
      <c r="O3">
        <v>0.98128462539886296</v>
      </c>
      <c r="R3">
        <v>2.2684580459585515</v>
      </c>
      <c r="S3">
        <v>4.3651268279600073</v>
      </c>
      <c r="T3">
        <v>1.8949631192439558</v>
      </c>
      <c r="U3">
        <v>2.9099259675421032</v>
      </c>
      <c r="V3" t="s">
        <v>30</v>
      </c>
    </row>
    <row r="4" spans="1:22" x14ac:dyDescent="0.3">
      <c r="A4">
        <v>16</v>
      </c>
      <c r="B4">
        <v>20</v>
      </c>
      <c r="C4">
        <v>48783.22</v>
      </c>
      <c r="D4" t="s">
        <v>8</v>
      </c>
      <c r="E4" t="s">
        <v>10</v>
      </c>
      <c r="F4" t="s">
        <v>13</v>
      </c>
      <c r="G4">
        <v>1</v>
      </c>
      <c r="H4" t="s">
        <v>16</v>
      </c>
      <c r="I4">
        <v>3</v>
      </c>
      <c r="J4">
        <v>0.36062497379587488</v>
      </c>
      <c r="L4">
        <v>-1.492407217379651</v>
      </c>
      <c r="M4">
        <v>-0.14996974526329462</v>
      </c>
      <c r="N4">
        <v>-1.4217391304347826</v>
      </c>
      <c r="O4">
        <v>0.98128462539886296</v>
      </c>
      <c r="R4">
        <v>2.8576625938122069</v>
      </c>
      <c r="S4">
        <v>3.2561365477990707</v>
      </c>
      <c r="T4">
        <v>2.1414352149414269</v>
      </c>
      <c r="U4">
        <v>3.2080851509200623</v>
      </c>
      <c r="V4" t="s">
        <v>30</v>
      </c>
    </row>
    <row r="5" spans="1:22" x14ac:dyDescent="0.3">
      <c r="A5">
        <v>37</v>
      </c>
      <c r="B5">
        <v>20</v>
      </c>
      <c r="C5">
        <v>27763.64</v>
      </c>
      <c r="D5" t="s">
        <v>7</v>
      </c>
      <c r="E5" t="s">
        <v>10</v>
      </c>
      <c r="F5" t="s">
        <v>13</v>
      </c>
      <c r="G5">
        <v>1</v>
      </c>
      <c r="H5" t="s">
        <v>18</v>
      </c>
      <c r="I5">
        <v>2</v>
      </c>
      <c r="J5">
        <v>7.126449863821227E-2</v>
      </c>
      <c r="L5">
        <v>-1.492407217379651</v>
      </c>
      <c r="M5">
        <v>-1.5544734221056762</v>
      </c>
      <c r="N5">
        <v>-1.4217391304347826</v>
      </c>
      <c r="O5">
        <v>-0.15974400878586156</v>
      </c>
      <c r="R5">
        <v>3.0804209476630802</v>
      </c>
      <c r="S5">
        <v>3.8022157631070788</v>
      </c>
      <c r="T5">
        <v>2.5811415349704943</v>
      </c>
      <c r="U5">
        <v>2.9440309730693635</v>
      </c>
      <c r="V5" t="s">
        <v>30</v>
      </c>
    </row>
    <row r="6" spans="1:22" x14ac:dyDescent="0.3">
      <c r="A6">
        <v>44</v>
      </c>
      <c r="B6">
        <v>21</v>
      </c>
      <c r="C6">
        <v>46163.53</v>
      </c>
      <c r="D6" t="s">
        <v>8</v>
      </c>
      <c r="E6" t="s">
        <v>12</v>
      </c>
      <c r="F6" t="s">
        <v>13</v>
      </c>
      <c r="G6">
        <v>1</v>
      </c>
      <c r="H6" t="s">
        <v>16</v>
      </c>
      <c r="I6">
        <v>3</v>
      </c>
      <c r="J6">
        <v>0.14035719208399433</v>
      </c>
      <c r="L6">
        <v>-1.4209317759342655</v>
      </c>
      <c r="M6">
        <v>-0.32501435781916976</v>
      </c>
      <c r="N6">
        <v>-1.4217391304347826</v>
      </c>
      <c r="O6">
        <v>0.98128462539886296</v>
      </c>
      <c r="R6">
        <v>2.8798386869827479</v>
      </c>
      <c r="S6">
        <v>3.3475707488422053</v>
      </c>
      <c r="T6">
        <v>2.0584412887632459</v>
      </c>
      <c r="U6">
        <v>3.1102540951557249</v>
      </c>
      <c r="V6" t="s">
        <v>30</v>
      </c>
    </row>
    <row r="7" spans="1:22" x14ac:dyDescent="0.3">
      <c r="A7">
        <v>53</v>
      </c>
      <c r="B7">
        <v>24</v>
      </c>
      <c r="C7">
        <v>40009.089999999997</v>
      </c>
      <c r="D7" t="s">
        <v>8</v>
      </c>
      <c r="E7" t="s">
        <v>10</v>
      </c>
      <c r="F7" t="s">
        <v>15</v>
      </c>
      <c r="G7">
        <v>2</v>
      </c>
      <c r="H7" t="s">
        <v>16</v>
      </c>
      <c r="I7">
        <v>3</v>
      </c>
      <c r="J7">
        <v>0.82480595323296158</v>
      </c>
      <c r="L7">
        <v>-1.2065054515981086</v>
      </c>
      <c r="M7">
        <v>-0.73624681864406871</v>
      </c>
      <c r="N7">
        <v>-0.11739130434782591</v>
      </c>
      <c r="O7">
        <v>0.98128462539886296</v>
      </c>
      <c r="R7">
        <v>1.9495612434038532</v>
      </c>
      <c r="S7">
        <v>3.8120951987392608</v>
      </c>
      <c r="T7">
        <v>1.3674007128417729</v>
      </c>
      <c r="U7">
        <v>2.5664301192572516</v>
      </c>
      <c r="V7" t="s">
        <v>30</v>
      </c>
    </row>
    <row r="8" spans="1:22" x14ac:dyDescent="0.3">
      <c r="A8">
        <v>5</v>
      </c>
      <c r="B8">
        <v>25</v>
      </c>
      <c r="C8">
        <v>53173.81</v>
      </c>
      <c r="D8" t="s">
        <v>7</v>
      </c>
      <c r="E8" t="s">
        <v>9</v>
      </c>
      <c r="F8" t="s">
        <v>15</v>
      </c>
      <c r="G8">
        <v>2</v>
      </c>
      <c r="H8" t="s">
        <v>16</v>
      </c>
      <c r="I8">
        <v>3</v>
      </c>
      <c r="J8">
        <v>0.40662867322404428</v>
      </c>
      <c r="L8">
        <v>-1.1350300101527231</v>
      </c>
      <c r="M8">
        <v>0.14340432779179907</v>
      </c>
      <c r="N8">
        <v>-0.11739130434782591</v>
      </c>
      <c r="O8">
        <v>0.98128462539886296</v>
      </c>
      <c r="R8">
        <v>1.7863186208050099</v>
      </c>
      <c r="S8">
        <v>3.2468906983588317</v>
      </c>
      <c r="T8">
        <v>1.4742605284046504</v>
      </c>
      <c r="U8">
        <v>2.7284696367958441</v>
      </c>
      <c r="V8" t="s">
        <v>30</v>
      </c>
    </row>
    <row r="9" spans="1:22" x14ac:dyDescent="0.3">
      <c r="A9">
        <v>10</v>
      </c>
      <c r="B9">
        <v>28</v>
      </c>
      <c r="C9">
        <v>33141.519999999997</v>
      </c>
      <c r="D9" t="s">
        <v>7</v>
      </c>
      <c r="E9" t="s">
        <v>9</v>
      </c>
      <c r="F9" t="s">
        <v>15</v>
      </c>
      <c r="G9">
        <v>2</v>
      </c>
      <c r="H9" t="s">
        <v>16</v>
      </c>
      <c r="I9">
        <v>3</v>
      </c>
      <c r="J9">
        <v>0.17396835608006245</v>
      </c>
      <c r="L9">
        <v>-0.92060368581656637</v>
      </c>
      <c r="M9">
        <v>-1.1951297894728119</v>
      </c>
      <c r="N9">
        <v>-0.11739130434782591</v>
      </c>
      <c r="O9">
        <v>0.98128462539886296</v>
      </c>
      <c r="R9">
        <v>2.246901023210774</v>
      </c>
      <c r="S9">
        <v>4.0992472081518567</v>
      </c>
      <c r="T9">
        <v>1.2378253332139437</v>
      </c>
      <c r="U9">
        <v>2.3149987553884204</v>
      </c>
      <c r="V9" t="s">
        <v>30</v>
      </c>
    </row>
    <row r="10" spans="1:22" x14ac:dyDescent="0.3">
      <c r="A10">
        <v>74</v>
      </c>
      <c r="B10">
        <v>31</v>
      </c>
      <c r="C10">
        <v>39976.300000000003</v>
      </c>
      <c r="D10" t="s">
        <v>7</v>
      </c>
      <c r="E10" t="s">
        <v>11</v>
      </c>
      <c r="F10" t="s">
        <v>14</v>
      </c>
      <c r="G10">
        <v>3</v>
      </c>
      <c r="H10" t="s">
        <v>16</v>
      </c>
      <c r="I10">
        <v>3</v>
      </c>
      <c r="J10">
        <v>0.78026710775912211</v>
      </c>
      <c r="L10">
        <v>-0.70617736148040966</v>
      </c>
      <c r="M10">
        <v>-0.7384378079770455</v>
      </c>
      <c r="N10">
        <v>1.1869565217391307</v>
      </c>
      <c r="O10">
        <v>0.98128462539886296</v>
      </c>
      <c r="R10">
        <v>1.6465104831136526</v>
      </c>
      <c r="S10">
        <v>4.3716386396319065</v>
      </c>
      <c r="T10">
        <v>1.5694637984737336</v>
      </c>
      <c r="U10">
        <v>2.4996986806277932</v>
      </c>
      <c r="V10" t="s">
        <v>30</v>
      </c>
    </row>
    <row r="11" spans="1:22" x14ac:dyDescent="0.3">
      <c r="A11">
        <v>46</v>
      </c>
      <c r="B11">
        <v>31</v>
      </c>
      <c r="C11">
        <v>30330.14</v>
      </c>
      <c r="D11" t="s">
        <v>8</v>
      </c>
      <c r="E11" t="s">
        <v>9</v>
      </c>
      <c r="F11" t="s">
        <v>14</v>
      </c>
      <c r="G11">
        <v>3</v>
      </c>
      <c r="H11" t="s">
        <v>16</v>
      </c>
      <c r="I11">
        <v>3</v>
      </c>
      <c r="J11">
        <v>0.26388748210032831</v>
      </c>
      <c r="L11">
        <v>-0.70617736148040966</v>
      </c>
      <c r="M11">
        <v>-1.3829829029508705</v>
      </c>
      <c r="N11">
        <v>1.1869565217391307</v>
      </c>
      <c r="O11">
        <v>0.98128462539886296</v>
      </c>
      <c r="R11">
        <v>2.045548483994879</v>
      </c>
      <c r="S11">
        <v>4.7897045100262972</v>
      </c>
      <c r="T11">
        <v>1.7571146060899103</v>
      </c>
      <c r="U11">
        <v>2.5237341228728818</v>
      </c>
      <c r="V11" t="s">
        <v>30</v>
      </c>
    </row>
    <row r="12" spans="1:22" x14ac:dyDescent="0.3">
      <c r="A12">
        <v>81</v>
      </c>
      <c r="B12">
        <v>38</v>
      </c>
      <c r="C12">
        <v>50421.49</v>
      </c>
      <c r="D12" t="s">
        <v>7</v>
      </c>
      <c r="E12" t="s">
        <v>9</v>
      </c>
      <c r="F12" t="s">
        <v>15</v>
      </c>
      <c r="G12">
        <v>2</v>
      </c>
      <c r="H12" t="s">
        <v>16</v>
      </c>
      <c r="I12">
        <v>3</v>
      </c>
      <c r="J12">
        <v>0.48199010822866151</v>
      </c>
      <c r="L12">
        <v>-0.20584927136271064</v>
      </c>
      <c r="M12">
        <v>-4.050246577147968E-2</v>
      </c>
      <c r="N12">
        <v>-0.11739130434782591</v>
      </c>
      <c r="O12">
        <v>0.98128462539886296</v>
      </c>
      <c r="R12">
        <v>2.205124042927364</v>
      </c>
      <c r="S12">
        <v>3.2804199705984129</v>
      </c>
      <c r="T12">
        <v>0.64418551863238482</v>
      </c>
      <c r="U12">
        <v>1.9533721065552716</v>
      </c>
      <c r="V12" t="s">
        <v>30</v>
      </c>
    </row>
    <row r="13" spans="1:22" x14ac:dyDescent="0.3">
      <c r="A13">
        <v>24</v>
      </c>
      <c r="B13">
        <v>38</v>
      </c>
      <c r="C13">
        <v>48298.68</v>
      </c>
      <c r="D13" t="s">
        <v>8</v>
      </c>
      <c r="E13" t="s">
        <v>11</v>
      </c>
      <c r="F13" t="s">
        <v>15</v>
      </c>
      <c r="G13">
        <v>2</v>
      </c>
      <c r="H13" t="s">
        <v>18</v>
      </c>
      <c r="I13">
        <v>2</v>
      </c>
      <c r="J13">
        <v>0.56037520243617567</v>
      </c>
      <c r="L13">
        <v>-0.20584927136271064</v>
      </c>
      <c r="M13">
        <v>-0.18234613963355364</v>
      </c>
      <c r="N13">
        <v>-0.11739130434782591</v>
      </c>
      <c r="O13">
        <v>-0.15974400878586156</v>
      </c>
      <c r="R13">
        <v>1.9014586687936712</v>
      </c>
      <c r="S13">
        <v>2.7255982053954781</v>
      </c>
      <c r="T13">
        <v>1.2589658396957091</v>
      </c>
      <c r="U13">
        <v>1.5069793928842286</v>
      </c>
      <c r="V13" t="s">
        <v>30</v>
      </c>
    </row>
    <row r="14" spans="1:22" x14ac:dyDescent="0.3">
      <c r="A14">
        <v>17</v>
      </c>
      <c r="B14">
        <v>39</v>
      </c>
      <c r="C14">
        <v>57016.92</v>
      </c>
      <c r="D14" t="s">
        <v>8</v>
      </c>
      <c r="E14" t="s">
        <v>9</v>
      </c>
      <c r="F14" t="s">
        <v>14</v>
      </c>
      <c r="G14">
        <v>3</v>
      </c>
      <c r="H14" t="s">
        <v>16</v>
      </c>
      <c r="I14">
        <v>3</v>
      </c>
      <c r="J14">
        <v>0.70736849314933092</v>
      </c>
      <c r="L14">
        <v>-0.13437382991732508</v>
      </c>
      <c r="M14">
        <v>0.40019642951360918</v>
      </c>
      <c r="N14">
        <v>1.1869565217391307</v>
      </c>
      <c r="O14">
        <v>0.98128462539886296</v>
      </c>
      <c r="R14">
        <v>1.8564979482584107</v>
      </c>
      <c r="S14">
        <v>3.7915128613215816</v>
      </c>
      <c r="T14">
        <v>1.654367507833123</v>
      </c>
      <c r="U14">
        <v>2.5197321011145339</v>
      </c>
      <c r="V14" t="s">
        <v>30</v>
      </c>
    </row>
    <row r="15" spans="1:22" x14ac:dyDescent="0.3">
      <c r="A15">
        <v>27</v>
      </c>
      <c r="B15">
        <v>39</v>
      </c>
      <c r="C15">
        <v>38269.279999999999</v>
      </c>
      <c r="D15" t="s">
        <v>7</v>
      </c>
      <c r="E15" t="s">
        <v>9</v>
      </c>
      <c r="F15" t="s">
        <v>13</v>
      </c>
      <c r="G15">
        <v>1</v>
      </c>
      <c r="H15" t="s">
        <v>18</v>
      </c>
      <c r="I15">
        <v>2</v>
      </c>
      <c r="J15">
        <v>0.1887707114172078</v>
      </c>
      <c r="L15">
        <v>-0.13437382991732508</v>
      </c>
      <c r="M15">
        <v>-0.85249888181598454</v>
      </c>
      <c r="N15">
        <v>-1.4217391304347826</v>
      </c>
      <c r="O15">
        <v>-0.15974400878586156</v>
      </c>
      <c r="R15">
        <v>3.1180744986762514</v>
      </c>
      <c r="S15">
        <v>3.002892544143771</v>
      </c>
      <c r="T15">
        <v>1.7779774382259914</v>
      </c>
      <c r="U15">
        <v>1.7863006551479905</v>
      </c>
      <c r="V15" t="s">
        <v>30</v>
      </c>
    </row>
    <row r="16" spans="1:22" x14ac:dyDescent="0.3">
      <c r="A16">
        <v>79</v>
      </c>
      <c r="B16">
        <v>40</v>
      </c>
      <c r="C16">
        <v>57686.36</v>
      </c>
      <c r="D16" t="s">
        <v>7</v>
      </c>
      <c r="E16" t="s">
        <v>10</v>
      </c>
      <c r="F16" t="s">
        <v>15</v>
      </c>
      <c r="G16">
        <v>2</v>
      </c>
      <c r="H16" t="s">
        <v>16</v>
      </c>
      <c r="I16">
        <v>3</v>
      </c>
      <c r="J16">
        <v>0.76080215654264394</v>
      </c>
      <c r="L16">
        <v>-6.2898388471939487E-2</v>
      </c>
      <c r="M16">
        <v>0.44492762497162341</v>
      </c>
      <c r="N16">
        <v>-0.11739130434782591</v>
      </c>
      <c r="O16">
        <v>0.98128462539886296</v>
      </c>
      <c r="R16">
        <v>2.3211675370763403</v>
      </c>
      <c r="S16">
        <v>3.0305893883838739</v>
      </c>
      <c r="T16">
        <v>1.0436583882282338</v>
      </c>
      <c r="U16">
        <v>2.1455665880385664</v>
      </c>
      <c r="V16" t="s">
        <v>30</v>
      </c>
    </row>
    <row r="17" spans="1:22" x14ac:dyDescent="0.3">
      <c r="A17">
        <v>9</v>
      </c>
      <c r="B17">
        <v>40</v>
      </c>
      <c r="C17">
        <v>72034.12</v>
      </c>
      <c r="D17" t="s">
        <v>8</v>
      </c>
      <c r="E17" t="s">
        <v>9</v>
      </c>
      <c r="F17" t="s">
        <v>15</v>
      </c>
      <c r="G17">
        <v>2</v>
      </c>
      <c r="H17" t="s">
        <v>16</v>
      </c>
      <c r="I17">
        <v>3</v>
      </c>
      <c r="J17">
        <v>0.9033770057945808</v>
      </c>
      <c r="L17">
        <v>-6.2898388471939487E-2</v>
      </c>
      <c r="M17">
        <v>1.4036281163445261</v>
      </c>
      <c r="N17">
        <v>-0.11739130434782591</v>
      </c>
      <c r="O17">
        <v>0.98128462539886296</v>
      </c>
      <c r="R17">
        <v>2.6462205465487094</v>
      </c>
      <c r="S17">
        <v>2.7006771688908158</v>
      </c>
      <c r="T17">
        <v>1.991670127227569</v>
      </c>
      <c r="U17">
        <v>2.8687774876841696</v>
      </c>
      <c r="V17" t="s">
        <v>30</v>
      </c>
    </row>
    <row r="18" spans="1:22" x14ac:dyDescent="0.3">
      <c r="A18">
        <v>98</v>
      </c>
      <c r="B18">
        <v>41</v>
      </c>
      <c r="C18">
        <v>28347.75</v>
      </c>
      <c r="D18" t="s">
        <v>8</v>
      </c>
      <c r="E18" t="s">
        <v>10</v>
      </c>
      <c r="F18" t="s">
        <v>13</v>
      </c>
      <c r="G18">
        <v>1</v>
      </c>
      <c r="H18" t="s">
        <v>16</v>
      </c>
      <c r="I18">
        <v>3</v>
      </c>
      <c r="J18">
        <v>0.55496570071442664</v>
      </c>
      <c r="L18">
        <v>8.5770529734460858E-3</v>
      </c>
      <c r="M18">
        <v>-1.5154438771442447</v>
      </c>
      <c r="N18">
        <v>-1.4217391304347826</v>
      </c>
      <c r="O18">
        <v>0.98128462539886296</v>
      </c>
      <c r="R18">
        <v>3.6238417485300816</v>
      </c>
      <c r="S18">
        <v>4.1386217042537785</v>
      </c>
      <c r="T18">
        <v>1.6135173855941964</v>
      </c>
      <c r="U18">
        <v>2.1103257742186843</v>
      </c>
      <c r="V18" t="s">
        <v>30</v>
      </c>
    </row>
    <row r="19" spans="1:22" x14ac:dyDescent="0.3">
      <c r="A19">
        <v>95</v>
      </c>
      <c r="B19">
        <v>42</v>
      </c>
      <c r="C19">
        <v>67538.11</v>
      </c>
      <c r="D19" t="s">
        <v>8</v>
      </c>
      <c r="E19" t="s">
        <v>12</v>
      </c>
      <c r="F19" t="s">
        <v>13</v>
      </c>
      <c r="G19">
        <v>1</v>
      </c>
      <c r="H19" t="s">
        <v>16</v>
      </c>
      <c r="I19">
        <v>3</v>
      </c>
      <c r="J19">
        <v>4.0790670333643586E-2</v>
      </c>
      <c r="L19">
        <v>8.0052494418831666E-2</v>
      </c>
      <c r="M19">
        <v>1.1032100025610867</v>
      </c>
      <c r="N19">
        <v>-1.4217391304347826</v>
      </c>
      <c r="O19">
        <v>0.98128462539886296</v>
      </c>
      <c r="R19">
        <v>3.4427156723928087</v>
      </c>
      <c r="S19">
        <v>2.4717784911697311</v>
      </c>
      <c r="T19">
        <v>2.1278492012241976</v>
      </c>
      <c r="U19">
        <v>2.8793309486536347</v>
      </c>
      <c r="V19" t="s">
        <v>30</v>
      </c>
    </row>
    <row r="20" spans="1:22" x14ac:dyDescent="0.3">
      <c r="A20">
        <v>48</v>
      </c>
      <c r="B20">
        <v>43</v>
      </c>
      <c r="C20">
        <v>42400.35</v>
      </c>
      <c r="D20" t="s">
        <v>7</v>
      </c>
      <c r="E20" t="s">
        <v>9</v>
      </c>
      <c r="F20" t="s">
        <v>15</v>
      </c>
      <c r="G20">
        <v>2</v>
      </c>
      <c r="H20" t="s">
        <v>16</v>
      </c>
      <c r="I20">
        <v>3</v>
      </c>
      <c r="J20">
        <v>5.4375022784229121E-2</v>
      </c>
      <c r="L20">
        <v>0.15152793586421723</v>
      </c>
      <c r="M20">
        <v>-0.5764656307094802</v>
      </c>
      <c r="N20">
        <v>-0.11739130434782591</v>
      </c>
      <c r="O20">
        <v>0.98128462539886296</v>
      </c>
      <c r="R20">
        <v>2.5258067789783212</v>
      </c>
      <c r="S20">
        <v>3.6634176790058874</v>
      </c>
      <c r="T20">
        <v>2.2204460492503131E-15</v>
      </c>
      <c r="U20">
        <v>1.5224575679158716</v>
      </c>
      <c r="V20" t="s">
        <v>30</v>
      </c>
    </row>
    <row r="21" spans="1:22" x14ac:dyDescent="0.3">
      <c r="A21">
        <v>32</v>
      </c>
      <c r="B21">
        <v>45</v>
      </c>
      <c r="C21">
        <v>62356</v>
      </c>
      <c r="D21" t="s">
        <v>8</v>
      </c>
      <c r="E21" t="s">
        <v>11</v>
      </c>
      <c r="F21" t="s">
        <v>13</v>
      </c>
      <c r="G21">
        <v>1</v>
      </c>
      <c r="H21" t="s">
        <v>16</v>
      </c>
      <c r="I21">
        <v>3</v>
      </c>
      <c r="J21">
        <v>0.72336110267799691</v>
      </c>
      <c r="L21">
        <v>0.29447881875498838</v>
      </c>
      <c r="M21">
        <v>0.75694749166402431</v>
      </c>
      <c r="N21">
        <v>-1.4217391304347826</v>
      </c>
      <c r="O21">
        <v>0.98128462539886296</v>
      </c>
      <c r="R21">
        <v>3.4664211527541346</v>
      </c>
      <c r="S21">
        <v>2.6550216586953703</v>
      </c>
      <c r="T21">
        <v>1.8707615458029048</v>
      </c>
      <c r="U21">
        <v>2.567797541245525</v>
      </c>
      <c r="V21" t="s">
        <v>30</v>
      </c>
    </row>
    <row r="22" spans="1:22" x14ac:dyDescent="0.3">
      <c r="A22">
        <v>2</v>
      </c>
      <c r="B22">
        <v>46</v>
      </c>
      <c r="C22">
        <v>36399.19</v>
      </c>
      <c r="D22" t="s">
        <v>7</v>
      </c>
      <c r="E22" t="s">
        <v>10</v>
      </c>
      <c r="F22" t="s">
        <v>14</v>
      </c>
      <c r="G22">
        <v>3</v>
      </c>
      <c r="H22" t="s">
        <v>16</v>
      </c>
      <c r="I22">
        <v>3</v>
      </c>
      <c r="J22">
        <v>0.45976092523931678</v>
      </c>
      <c r="L22">
        <v>0.36595426020037397</v>
      </c>
      <c r="M22">
        <v>-0.97745610175216613</v>
      </c>
      <c r="N22">
        <v>1.1869565217391307</v>
      </c>
      <c r="O22">
        <v>0.98128462539886296</v>
      </c>
      <c r="R22">
        <v>2.4797213021409541</v>
      </c>
      <c r="S22">
        <v>4.5794125071077216</v>
      </c>
      <c r="T22">
        <v>1.3813382126956169</v>
      </c>
      <c r="U22">
        <v>1.8746337819629286</v>
      </c>
      <c r="V22" t="s">
        <v>30</v>
      </c>
    </row>
    <row r="23" spans="1:22" x14ac:dyDescent="0.3">
      <c r="A23">
        <v>67</v>
      </c>
      <c r="B23">
        <v>46</v>
      </c>
      <c r="C23">
        <v>55070.34</v>
      </c>
      <c r="D23" t="s">
        <v>7</v>
      </c>
      <c r="E23" t="s">
        <v>10</v>
      </c>
      <c r="F23" t="s">
        <v>15</v>
      </c>
      <c r="G23">
        <v>2</v>
      </c>
      <c r="H23" t="s">
        <v>16</v>
      </c>
      <c r="I23">
        <v>3</v>
      </c>
      <c r="J23">
        <v>0.36044200752563027</v>
      </c>
      <c r="L23">
        <v>0.36595426020037397</v>
      </c>
      <c r="M23">
        <v>0.27012823751035098</v>
      </c>
      <c r="N23">
        <v>-0.11739130434782591</v>
      </c>
      <c r="O23">
        <v>0.98128462539886296</v>
      </c>
      <c r="R23">
        <v>2.6005517880490938</v>
      </c>
      <c r="S23">
        <v>3.1965289590017467</v>
      </c>
      <c r="T23">
        <v>0.87332687252581886</v>
      </c>
      <c r="U23">
        <v>1.8285029247752842</v>
      </c>
      <c r="V23" t="s">
        <v>30</v>
      </c>
    </row>
    <row r="24" spans="1:22" x14ac:dyDescent="0.3">
      <c r="A24">
        <v>91</v>
      </c>
      <c r="B24">
        <v>46</v>
      </c>
      <c r="C24">
        <v>47848.07</v>
      </c>
      <c r="D24" t="s">
        <v>8</v>
      </c>
      <c r="E24" t="s">
        <v>10</v>
      </c>
      <c r="F24" t="s">
        <v>15</v>
      </c>
      <c r="G24">
        <v>2</v>
      </c>
      <c r="H24" t="s">
        <v>16</v>
      </c>
      <c r="I24">
        <v>3</v>
      </c>
      <c r="J24">
        <v>0.94091531133302053</v>
      </c>
      <c r="L24">
        <v>0.36595426020037397</v>
      </c>
      <c r="M24">
        <v>-0.21245537120820671</v>
      </c>
      <c r="N24">
        <v>-0.11739130434782591</v>
      </c>
      <c r="O24">
        <v>0.98128462539886296</v>
      </c>
      <c r="R24">
        <v>2.6104295429936251</v>
      </c>
      <c r="S24">
        <v>3.4689814934536227</v>
      </c>
      <c r="T24">
        <v>0.42247143997020387</v>
      </c>
      <c r="U24">
        <v>1.5434470645939191</v>
      </c>
      <c r="V24" t="s">
        <v>30</v>
      </c>
    </row>
    <row r="25" spans="1:22" x14ac:dyDescent="0.3">
      <c r="A25">
        <v>21</v>
      </c>
      <c r="B25">
        <v>47</v>
      </c>
      <c r="C25">
        <v>47741.99</v>
      </c>
      <c r="D25" t="s">
        <v>8</v>
      </c>
      <c r="E25" t="s">
        <v>11</v>
      </c>
      <c r="F25" t="s">
        <v>13</v>
      </c>
      <c r="G25">
        <v>1</v>
      </c>
      <c r="H25" t="s">
        <v>16</v>
      </c>
      <c r="I25">
        <v>3</v>
      </c>
      <c r="J25">
        <v>0.57482588866981188</v>
      </c>
      <c r="L25">
        <v>0.43742970164575956</v>
      </c>
      <c r="M25">
        <v>-0.21954351236228506</v>
      </c>
      <c r="N25">
        <v>-1.4217391304347826</v>
      </c>
      <c r="O25">
        <v>0.98128462539886296</v>
      </c>
      <c r="R25">
        <v>3.4933536427399314</v>
      </c>
      <c r="S25">
        <v>3.2373067436639609</v>
      </c>
      <c r="T25">
        <v>1.3821926311698458</v>
      </c>
      <c r="U25">
        <v>1.9939505995943654</v>
      </c>
      <c r="V25" t="s">
        <v>30</v>
      </c>
    </row>
    <row r="26" spans="1:22" x14ac:dyDescent="0.3">
      <c r="A26">
        <v>71</v>
      </c>
      <c r="B26">
        <v>51</v>
      </c>
      <c r="C26">
        <v>38560.6</v>
      </c>
      <c r="D26" t="s">
        <v>7</v>
      </c>
      <c r="E26" t="s">
        <v>12</v>
      </c>
      <c r="F26" t="s">
        <v>14</v>
      </c>
      <c r="G26">
        <v>3</v>
      </c>
      <c r="H26" t="s">
        <v>16</v>
      </c>
      <c r="I26">
        <v>3</v>
      </c>
      <c r="J26">
        <v>0.11819644548068464</v>
      </c>
      <c r="L26">
        <v>0.72333146742730181</v>
      </c>
      <c r="M26">
        <v>-0.83303322117301637</v>
      </c>
      <c r="N26">
        <v>1.1869565217391307</v>
      </c>
      <c r="O26">
        <v>0.98128462539886296</v>
      </c>
      <c r="R26">
        <v>2.714937572768255</v>
      </c>
      <c r="S26">
        <v>4.5658961988613829</v>
      </c>
      <c r="T26">
        <v>1.4471038174927364</v>
      </c>
      <c r="U26">
        <v>1.7745274790782397</v>
      </c>
      <c r="V26" t="s">
        <v>30</v>
      </c>
    </row>
    <row r="27" spans="1:22" x14ac:dyDescent="0.3">
      <c r="A27">
        <v>1</v>
      </c>
      <c r="B27">
        <v>56</v>
      </c>
      <c r="C27">
        <v>59544.58</v>
      </c>
      <c r="D27" t="s">
        <v>7</v>
      </c>
      <c r="E27" t="s">
        <v>9</v>
      </c>
      <c r="F27" t="s">
        <v>13</v>
      </c>
      <c r="G27">
        <v>1</v>
      </c>
      <c r="H27" t="s">
        <v>16</v>
      </c>
      <c r="I27">
        <v>3</v>
      </c>
      <c r="J27">
        <v>0.24986900438938386</v>
      </c>
      <c r="L27">
        <v>1.0807086746542298</v>
      </c>
      <c r="M27">
        <v>0.569091705432891</v>
      </c>
      <c r="N27">
        <v>-1.4217391304347826</v>
      </c>
      <c r="O27">
        <v>0.98128462539886296</v>
      </c>
      <c r="R27">
        <v>3.9164012127002188</v>
      </c>
      <c r="S27">
        <v>3.0430050507139463</v>
      </c>
      <c r="T27">
        <v>1.9690103369829537</v>
      </c>
      <c r="U27">
        <v>2.3158134461082209</v>
      </c>
      <c r="V27" t="s">
        <v>30</v>
      </c>
    </row>
    <row r="28" spans="1:22" x14ac:dyDescent="0.3">
      <c r="A28">
        <v>42</v>
      </c>
      <c r="B28">
        <v>56</v>
      </c>
      <c r="C28">
        <v>44603.33</v>
      </c>
      <c r="D28" t="s">
        <v>7</v>
      </c>
      <c r="E28" t="s">
        <v>10</v>
      </c>
      <c r="F28" t="s">
        <v>15</v>
      </c>
      <c r="G28">
        <v>2</v>
      </c>
      <c r="H28" t="s">
        <v>16</v>
      </c>
      <c r="I28">
        <v>3</v>
      </c>
      <c r="J28">
        <v>0.2259900289405784</v>
      </c>
      <c r="L28">
        <v>1.0807086746542298</v>
      </c>
      <c r="M28">
        <v>-0.42926509149745823</v>
      </c>
      <c r="N28">
        <v>-0.11739130434782591</v>
      </c>
      <c r="O28">
        <v>0.98128462539886296</v>
      </c>
      <c r="R28">
        <v>3.2029198515584194</v>
      </c>
      <c r="S28">
        <v>3.825722426542876</v>
      </c>
      <c r="T28">
        <v>0.94076822017044293</v>
      </c>
      <c r="U28">
        <v>1.261410240543966</v>
      </c>
      <c r="V28" t="s">
        <v>30</v>
      </c>
    </row>
    <row r="29" spans="1:22" x14ac:dyDescent="0.3">
      <c r="A29">
        <v>80</v>
      </c>
      <c r="B29">
        <v>57</v>
      </c>
      <c r="C29">
        <v>58152.33</v>
      </c>
      <c r="D29" t="s">
        <v>7</v>
      </c>
      <c r="E29" t="s">
        <v>11</v>
      </c>
      <c r="F29" t="s">
        <v>14</v>
      </c>
      <c r="G29">
        <v>3</v>
      </c>
      <c r="H29" t="s">
        <v>16</v>
      </c>
      <c r="I29">
        <v>3</v>
      </c>
      <c r="J29">
        <v>0.60085612237680208</v>
      </c>
      <c r="L29">
        <v>1.1521841160996154</v>
      </c>
      <c r="M29">
        <v>0.47606319372695755</v>
      </c>
      <c r="N29">
        <v>1.1869565217391307</v>
      </c>
      <c r="O29">
        <v>0.98128462539886296</v>
      </c>
      <c r="R29">
        <v>2.9722246512991597</v>
      </c>
      <c r="S29">
        <v>4.0673166715144236</v>
      </c>
      <c r="T29">
        <v>1.9520381576010781</v>
      </c>
      <c r="U29">
        <v>2.2563123792461552</v>
      </c>
      <c r="V29" t="s">
        <v>30</v>
      </c>
    </row>
    <row r="30" spans="1:22" x14ac:dyDescent="0.3">
      <c r="A30">
        <v>90</v>
      </c>
      <c r="B30">
        <v>58</v>
      </c>
      <c r="C30">
        <v>45950.99</v>
      </c>
      <c r="D30" t="s">
        <v>7</v>
      </c>
      <c r="E30" t="s">
        <v>9</v>
      </c>
      <c r="F30" t="s">
        <v>15</v>
      </c>
      <c r="G30">
        <v>2</v>
      </c>
      <c r="H30" t="s">
        <v>16</v>
      </c>
      <c r="I30">
        <v>3</v>
      </c>
      <c r="J30">
        <v>0.26176574799417485</v>
      </c>
      <c r="L30">
        <v>1.2236595575450009</v>
      </c>
      <c r="M30">
        <v>-0.33921603128153582</v>
      </c>
      <c r="N30">
        <v>-0.11739130434782591</v>
      </c>
      <c r="O30">
        <v>0.98128462539886296</v>
      </c>
      <c r="R30">
        <v>3.30926347686811</v>
      </c>
      <c r="S30">
        <v>3.8304645213876856</v>
      </c>
      <c r="T30">
        <v>1.0980681156634073</v>
      </c>
      <c r="U30">
        <v>1.3101729297030358</v>
      </c>
      <c r="V30" t="s">
        <v>30</v>
      </c>
    </row>
    <row r="31" spans="1:22" x14ac:dyDescent="0.3">
      <c r="A31">
        <v>65</v>
      </c>
      <c r="B31">
        <v>59</v>
      </c>
      <c r="C31">
        <v>68555.240000000005</v>
      </c>
      <c r="D31" t="s">
        <v>7</v>
      </c>
      <c r="E31" t="s">
        <v>12</v>
      </c>
      <c r="F31" t="s">
        <v>13</v>
      </c>
      <c r="G31">
        <v>1</v>
      </c>
      <c r="H31" t="s">
        <v>16</v>
      </c>
      <c r="I31">
        <v>3</v>
      </c>
      <c r="J31">
        <v>0.47561270307519055</v>
      </c>
      <c r="L31">
        <v>1.2951349989903864</v>
      </c>
      <c r="M31">
        <v>1.1711734359325765</v>
      </c>
      <c r="N31">
        <v>-1.4217391304347826</v>
      </c>
      <c r="O31">
        <v>0.98128462539886296</v>
      </c>
      <c r="R31">
        <v>4.1793727521769002</v>
      </c>
      <c r="S31">
        <v>2.9490494718044666</v>
      </c>
      <c r="T31">
        <v>2.4623977488422426</v>
      </c>
      <c r="U31">
        <v>2.7606584638828777</v>
      </c>
      <c r="V31" t="s">
        <v>30</v>
      </c>
    </row>
    <row r="32" spans="1:22" x14ac:dyDescent="0.3">
      <c r="A32">
        <v>100</v>
      </c>
      <c r="B32">
        <v>61</v>
      </c>
      <c r="C32">
        <v>61118.61</v>
      </c>
      <c r="D32" t="s">
        <v>8</v>
      </c>
      <c r="E32" t="s">
        <v>12</v>
      </c>
      <c r="F32" t="s">
        <v>14</v>
      </c>
      <c r="G32">
        <v>3</v>
      </c>
      <c r="H32" t="s">
        <v>16</v>
      </c>
      <c r="I32">
        <v>3</v>
      </c>
      <c r="J32">
        <v>0.85396612011397321</v>
      </c>
      <c r="L32">
        <v>1.4380858818811577</v>
      </c>
      <c r="M32">
        <v>0.67426654348675374</v>
      </c>
      <c r="N32">
        <v>1.1869565217391307</v>
      </c>
      <c r="O32">
        <v>0.98128462539886296</v>
      </c>
      <c r="R32">
        <v>3.2656306401431801</v>
      </c>
      <c r="S32">
        <v>4.122455793285889</v>
      </c>
      <c r="T32">
        <v>2.2183069155206483</v>
      </c>
      <c r="U32">
        <v>2.4134826340326621</v>
      </c>
      <c r="V32" t="s">
        <v>30</v>
      </c>
    </row>
    <row r="33" spans="1:22" x14ac:dyDescent="0.3">
      <c r="A33">
        <v>93</v>
      </c>
      <c r="B33">
        <v>62</v>
      </c>
      <c r="C33">
        <v>68734.11</v>
      </c>
      <c r="D33" t="s">
        <v>8</v>
      </c>
      <c r="E33" t="s">
        <v>10</v>
      </c>
      <c r="F33" t="s">
        <v>14</v>
      </c>
      <c r="G33">
        <v>3</v>
      </c>
      <c r="H33" t="s">
        <v>16</v>
      </c>
      <c r="I33">
        <v>3</v>
      </c>
      <c r="J33">
        <v>0.86373463118369054</v>
      </c>
      <c r="L33">
        <v>1.5095613233265432</v>
      </c>
      <c r="M33">
        <v>1.1831253194943216</v>
      </c>
      <c r="N33">
        <v>1.1869565217391307</v>
      </c>
      <c r="O33">
        <v>0.98128462539886296</v>
      </c>
      <c r="R33">
        <v>3.4583397384264649</v>
      </c>
      <c r="S33">
        <v>4.0331495230785341</v>
      </c>
      <c r="T33">
        <v>2.5771570082009516</v>
      </c>
      <c r="U33">
        <v>2.7947138444471249</v>
      </c>
      <c r="V33" t="s">
        <v>30</v>
      </c>
    </row>
    <row r="34" spans="1:22" x14ac:dyDescent="0.3">
      <c r="A34">
        <v>83</v>
      </c>
      <c r="B34">
        <v>62</v>
      </c>
      <c r="C34">
        <v>61845.09</v>
      </c>
      <c r="D34" t="s">
        <v>7</v>
      </c>
      <c r="E34" t="s">
        <v>9</v>
      </c>
      <c r="F34" t="s">
        <v>14</v>
      </c>
      <c r="G34">
        <v>3</v>
      </c>
      <c r="H34" t="s">
        <v>16</v>
      </c>
      <c r="I34">
        <v>3</v>
      </c>
      <c r="J34">
        <v>0.84035832171460401</v>
      </c>
      <c r="L34">
        <v>1.5095613233265432</v>
      </c>
      <c r="M34">
        <v>0.72280908482927575</v>
      </c>
      <c r="N34">
        <v>1.1869565217391307</v>
      </c>
      <c r="O34">
        <v>0.98128462539886296</v>
      </c>
      <c r="R34">
        <v>3.3404231308657533</v>
      </c>
      <c r="S34">
        <v>4.1409841823474034</v>
      </c>
      <c r="T34">
        <v>2.2877265394531925</v>
      </c>
      <c r="U34">
        <v>2.4582103238957713</v>
      </c>
      <c r="V34" t="s">
        <v>30</v>
      </c>
    </row>
    <row r="35" spans="1:22" x14ac:dyDescent="0.3">
      <c r="A35">
        <v>52</v>
      </c>
      <c r="B35">
        <v>64</v>
      </c>
      <c r="C35">
        <v>63723.26</v>
      </c>
      <c r="D35" t="s">
        <v>7</v>
      </c>
      <c r="E35" t="s">
        <v>12</v>
      </c>
      <c r="F35" t="s">
        <v>15</v>
      </c>
      <c r="G35">
        <v>2</v>
      </c>
      <c r="H35" t="s">
        <v>16</v>
      </c>
      <c r="I35">
        <v>3</v>
      </c>
      <c r="J35">
        <v>0.8602570152282959</v>
      </c>
      <c r="L35">
        <v>1.6525122062173143</v>
      </c>
      <c r="M35">
        <v>0.84830620088654529</v>
      </c>
      <c r="N35">
        <v>-0.11739130434782591</v>
      </c>
      <c r="O35">
        <v>0.98128462539886296</v>
      </c>
      <c r="R35">
        <v>3.7330195534053945</v>
      </c>
      <c r="S35">
        <v>3.5119263921976307</v>
      </c>
      <c r="T35">
        <v>2.0695237500345116</v>
      </c>
      <c r="U35">
        <v>2.2191018684029502</v>
      </c>
      <c r="V35" t="s">
        <v>30</v>
      </c>
    </row>
    <row r="37" spans="1:22" x14ac:dyDescent="0.3">
      <c r="B37">
        <f>AVERAGE(B2:B35)</f>
        <v>41.588235294117645</v>
      </c>
      <c r="C37">
        <f>AVERAGE(C2:C35)</f>
        <v>49273.008529411782</v>
      </c>
    </row>
  </sheetData>
  <autoFilter ref="A1:V1" xr:uid="{9D431981-A8CD-4BD2-B7E2-7ECDF6381697}">
    <sortState xmlns:xlrd2="http://schemas.microsoft.com/office/spreadsheetml/2017/richdata2" ref="A2:V35">
      <sortCondition ref="B1"/>
    </sortState>
  </autoFilter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F23A7-07EB-49C1-860E-A86D1376D3E1}">
  <dimension ref="A1:V30"/>
  <sheetViews>
    <sheetView workbookViewId="0">
      <selection activeCell="I35" sqref="I35"/>
    </sheetView>
  </sheetViews>
  <sheetFormatPr defaultRowHeight="14.4" x14ac:dyDescent="0.3"/>
  <cols>
    <col min="1" max="22" width="13.77734375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</v>
      </c>
      <c r="H1" s="1" t="s">
        <v>6</v>
      </c>
      <c r="I1" s="2" t="s">
        <v>21</v>
      </c>
      <c r="J1" s="2" t="s">
        <v>19</v>
      </c>
      <c r="L1" s="3" t="s">
        <v>24</v>
      </c>
      <c r="M1" s="3" t="s">
        <v>25</v>
      </c>
      <c r="N1" s="4" t="s">
        <v>26</v>
      </c>
      <c r="O1" s="4" t="s">
        <v>27</v>
      </c>
      <c r="P1" s="4"/>
      <c r="R1" s="4" t="s">
        <v>28</v>
      </c>
      <c r="S1" s="4" t="s">
        <v>29</v>
      </c>
      <c r="T1" s="4" t="s">
        <v>30</v>
      </c>
      <c r="U1" s="4" t="s">
        <v>45</v>
      </c>
      <c r="V1" s="4" t="s">
        <v>32</v>
      </c>
    </row>
    <row r="2" spans="1:22" x14ac:dyDescent="0.3">
      <c r="A2">
        <v>66</v>
      </c>
      <c r="B2">
        <v>21</v>
      </c>
      <c r="C2">
        <v>28602.82</v>
      </c>
      <c r="D2" t="s">
        <v>7</v>
      </c>
      <c r="E2" t="s">
        <v>9</v>
      </c>
      <c r="F2" t="s">
        <v>13</v>
      </c>
      <c r="G2">
        <v>1</v>
      </c>
      <c r="H2" t="s">
        <v>17</v>
      </c>
      <c r="I2">
        <v>1</v>
      </c>
      <c r="J2">
        <v>0.70289615338040734</v>
      </c>
      <c r="L2">
        <v>-1.4209317759342655</v>
      </c>
      <c r="M2">
        <v>-1.4984003989752144</v>
      </c>
      <c r="N2">
        <v>-1.4217391304347826</v>
      </c>
      <c r="O2">
        <v>-1.3007726429705861</v>
      </c>
      <c r="R2">
        <v>3.2597342253913353</v>
      </c>
      <c r="S2">
        <v>3.5526491392054207</v>
      </c>
      <c r="T2">
        <v>3.1987031574846339</v>
      </c>
      <c r="U2">
        <v>3.0893058937401658</v>
      </c>
      <c r="V2" t="s">
        <v>45</v>
      </c>
    </row>
    <row r="3" spans="1:22" x14ac:dyDescent="0.3">
      <c r="A3">
        <v>26</v>
      </c>
      <c r="B3">
        <v>29</v>
      </c>
      <c r="C3">
        <v>34623.64</v>
      </c>
      <c r="D3" t="s">
        <v>7</v>
      </c>
      <c r="E3" t="s">
        <v>10</v>
      </c>
      <c r="F3" t="s">
        <v>13</v>
      </c>
      <c r="G3">
        <v>1</v>
      </c>
      <c r="H3" t="s">
        <v>17</v>
      </c>
      <c r="I3">
        <v>1</v>
      </c>
      <c r="J3">
        <v>0.90141323744732349</v>
      </c>
      <c r="L3">
        <v>-0.84912824437118084</v>
      </c>
      <c r="M3">
        <v>-1.0960962697963181</v>
      </c>
      <c r="N3">
        <v>-1.4217391304347826</v>
      </c>
      <c r="O3">
        <v>-1.3007726429705861</v>
      </c>
      <c r="R3">
        <v>3.1632921564464538</v>
      </c>
      <c r="S3">
        <v>3.0369404965323268</v>
      </c>
      <c r="T3">
        <v>2.8601463982909507</v>
      </c>
      <c r="U3">
        <v>2.596958572400486</v>
      </c>
      <c r="V3" t="s">
        <v>45</v>
      </c>
    </row>
    <row r="4" spans="1:22" x14ac:dyDescent="0.3">
      <c r="A4">
        <v>82</v>
      </c>
      <c r="B4">
        <v>33</v>
      </c>
      <c r="C4">
        <v>32043.69</v>
      </c>
      <c r="D4" t="s">
        <v>7</v>
      </c>
      <c r="E4" t="s">
        <v>11</v>
      </c>
      <c r="F4" t="s">
        <v>15</v>
      </c>
      <c r="G4">
        <v>2</v>
      </c>
      <c r="H4" t="s">
        <v>17</v>
      </c>
      <c r="I4">
        <v>1</v>
      </c>
      <c r="J4">
        <v>0.49130170533774986</v>
      </c>
      <c r="L4">
        <v>-0.56322647858963848</v>
      </c>
      <c r="M4">
        <v>-1.2684855021724883</v>
      </c>
      <c r="N4">
        <v>-0.11739130434782591</v>
      </c>
      <c r="O4">
        <v>-1.3007726429705861</v>
      </c>
      <c r="R4">
        <v>2.4142999476647469</v>
      </c>
      <c r="S4">
        <v>3.439062169015386</v>
      </c>
      <c r="T4">
        <v>2.4894880501016243</v>
      </c>
      <c r="U4">
        <v>2.0236932236789249</v>
      </c>
      <c r="V4" t="s">
        <v>45</v>
      </c>
    </row>
    <row r="5" spans="1:22" x14ac:dyDescent="0.3">
      <c r="A5">
        <v>8</v>
      </c>
      <c r="B5">
        <v>36</v>
      </c>
      <c r="C5">
        <v>48320.18</v>
      </c>
      <c r="D5" t="s">
        <v>7</v>
      </c>
      <c r="E5" t="s">
        <v>11</v>
      </c>
      <c r="F5" t="s">
        <v>15</v>
      </c>
      <c r="G5">
        <v>2</v>
      </c>
      <c r="H5" t="s">
        <v>17</v>
      </c>
      <c r="I5">
        <v>1</v>
      </c>
      <c r="J5">
        <v>0.28294857350343583</v>
      </c>
      <c r="L5">
        <v>-0.34880015425348182</v>
      </c>
      <c r="M5">
        <v>-0.18090953485590769</v>
      </c>
      <c r="N5">
        <v>-0.11739130434782591</v>
      </c>
      <c r="O5">
        <v>-1.3007726429705861</v>
      </c>
      <c r="R5">
        <v>2.1328160462445904</v>
      </c>
      <c r="S5">
        <v>2.4657774542838626</v>
      </c>
      <c r="T5">
        <v>2.3695101179031872</v>
      </c>
      <c r="U5">
        <v>1.9908425482952594</v>
      </c>
      <c r="V5" t="s">
        <v>45</v>
      </c>
    </row>
    <row r="6" spans="1:22" x14ac:dyDescent="0.3">
      <c r="A6">
        <v>40</v>
      </c>
      <c r="B6">
        <v>38</v>
      </c>
      <c r="C6">
        <v>46854.61</v>
      </c>
      <c r="D6" t="s">
        <v>8</v>
      </c>
      <c r="E6" t="s">
        <v>11</v>
      </c>
      <c r="F6" t="s">
        <v>15</v>
      </c>
      <c r="G6">
        <v>2</v>
      </c>
      <c r="H6" t="s">
        <v>17</v>
      </c>
      <c r="I6">
        <v>1</v>
      </c>
      <c r="J6">
        <v>0.60820267746448053</v>
      </c>
      <c r="L6">
        <v>-0.20584927136271064</v>
      </c>
      <c r="M6">
        <v>-0.27883720294774816</v>
      </c>
      <c r="N6">
        <v>-0.11739130434782591</v>
      </c>
      <c r="O6">
        <v>-1.3007726429705861</v>
      </c>
      <c r="R6">
        <v>2.2311091911946423</v>
      </c>
      <c r="S6">
        <v>2.5573647974445448</v>
      </c>
      <c r="T6">
        <v>2.328966836469569</v>
      </c>
      <c r="U6">
        <v>1.8522447210293136</v>
      </c>
      <c r="V6" t="s">
        <v>45</v>
      </c>
    </row>
    <row r="7" spans="1:22" x14ac:dyDescent="0.3">
      <c r="A7">
        <v>19</v>
      </c>
      <c r="B7">
        <v>41</v>
      </c>
      <c r="C7">
        <v>38304.47</v>
      </c>
      <c r="D7" t="s">
        <v>8</v>
      </c>
      <c r="E7" t="s">
        <v>11</v>
      </c>
      <c r="F7" t="s">
        <v>14</v>
      </c>
      <c r="G7">
        <v>3</v>
      </c>
      <c r="H7" t="s">
        <v>17</v>
      </c>
      <c r="I7">
        <v>1</v>
      </c>
      <c r="J7">
        <v>0.83254289958253147</v>
      </c>
      <c r="L7">
        <v>8.5770529734460858E-3</v>
      </c>
      <c r="M7">
        <v>-0.85014752729852572</v>
      </c>
      <c r="N7">
        <v>1.1869565217391307</v>
      </c>
      <c r="O7">
        <v>-1.3007726429705861</v>
      </c>
      <c r="R7">
        <v>2.1549445558331093</v>
      </c>
      <c r="S7">
        <v>3.8222895533991919</v>
      </c>
      <c r="T7">
        <v>2.6465912723681817</v>
      </c>
      <c r="U7">
        <v>2.0411764528200851</v>
      </c>
      <c r="V7" t="s">
        <v>45</v>
      </c>
    </row>
    <row r="8" spans="1:22" x14ac:dyDescent="0.3">
      <c r="A8">
        <v>15</v>
      </c>
      <c r="B8">
        <v>41</v>
      </c>
      <c r="C8">
        <v>54902.68</v>
      </c>
      <c r="D8" t="s">
        <v>7</v>
      </c>
      <c r="E8" t="s">
        <v>12</v>
      </c>
      <c r="F8" t="s">
        <v>15</v>
      </c>
      <c r="G8">
        <v>2</v>
      </c>
      <c r="H8" t="s">
        <v>17</v>
      </c>
      <c r="I8">
        <v>1</v>
      </c>
      <c r="J8">
        <v>0.93263762615789425</v>
      </c>
      <c r="L8">
        <v>8.5770529734460858E-3</v>
      </c>
      <c r="M8">
        <v>0.25892539299778755</v>
      </c>
      <c r="N8">
        <v>-0.11739130434782591</v>
      </c>
      <c r="O8">
        <v>-1.3007726429705861</v>
      </c>
      <c r="R8">
        <v>2.3467302174442617</v>
      </c>
      <c r="S8">
        <v>2.1477072456376667</v>
      </c>
      <c r="T8">
        <v>2.4343579222307792</v>
      </c>
      <c r="U8">
        <v>1.9885726101322272</v>
      </c>
      <c r="V8" t="s">
        <v>45</v>
      </c>
    </row>
    <row r="9" spans="1:22" x14ac:dyDescent="0.3">
      <c r="A9">
        <v>86</v>
      </c>
      <c r="B9">
        <v>41</v>
      </c>
      <c r="C9">
        <v>39765.480000000003</v>
      </c>
      <c r="D9" t="s">
        <v>7</v>
      </c>
      <c r="E9" t="s">
        <v>9</v>
      </c>
      <c r="F9" t="s">
        <v>15</v>
      </c>
      <c r="G9">
        <v>2</v>
      </c>
      <c r="H9" t="s">
        <v>17</v>
      </c>
      <c r="I9">
        <v>1</v>
      </c>
      <c r="J9">
        <v>0.37231917094440947</v>
      </c>
      <c r="L9">
        <v>8.5770529734460858E-3</v>
      </c>
      <c r="M9">
        <v>-0.75252455305719979</v>
      </c>
      <c r="N9">
        <v>-0.11739130434782591</v>
      </c>
      <c r="O9">
        <v>-1.3007726429705861</v>
      </c>
      <c r="R9">
        <v>2.4844735709958603</v>
      </c>
      <c r="S9">
        <v>2.9960757375044507</v>
      </c>
      <c r="T9">
        <v>2.2932982961610828</v>
      </c>
      <c r="U9">
        <v>1.5803266960745379</v>
      </c>
      <c r="V9" t="s">
        <v>45</v>
      </c>
    </row>
    <row r="10" spans="1:22" x14ac:dyDescent="0.3">
      <c r="A10">
        <v>51</v>
      </c>
      <c r="B10">
        <v>45</v>
      </c>
      <c r="C10">
        <v>33556.01</v>
      </c>
      <c r="D10" t="s">
        <v>7</v>
      </c>
      <c r="E10" t="s">
        <v>10</v>
      </c>
      <c r="F10" t="s">
        <v>13</v>
      </c>
      <c r="G10">
        <v>1</v>
      </c>
      <c r="H10" t="s">
        <v>18</v>
      </c>
      <c r="I10">
        <v>2</v>
      </c>
      <c r="J10">
        <v>0.62698353150767094</v>
      </c>
      <c r="L10">
        <v>0.29447881875498838</v>
      </c>
      <c r="M10">
        <v>-1.1674340539246035</v>
      </c>
      <c r="N10">
        <v>-1.4217391304347826</v>
      </c>
      <c r="O10">
        <v>-0.15974400878586156</v>
      </c>
      <c r="R10">
        <v>3.438066735088722</v>
      </c>
      <c r="S10">
        <v>3.3594579297051625</v>
      </c>
      <c r="T10">
        <v>1.8365588004754574</v>
      </c>
      <c r="U10">
        <v>1.5361105373944748</v>
      </c>
      <c r="V10" t="s">
        <v>45</v>
      </c>
    </row>
    <row r="11" spans="1:22" x14ac:dyDescent="0.3">
      <c r="A11">
        <v>75</v>
      </c>
      <c r="B11">
        <v>48</v>
      </c>
      <c r="C11">
        <v>47940.63</v>
      </c>
      <c r="D11" t="s">
        <v>8</v>
      </c>
      <c r="E11" t="s">
        <v>9</v>
      </c>
      <c r="F11" t="s">
        <v>13</v>
      </c>
      <c r="G11">
        <v>1</v>
      </c>
      <c r="H11" t="s">
        <v>18</v>
      </c>
      <c r="I11">
        <v>2</v>
      </c>
      <c r="J11">
        <v>0.66360311479468703</v>
      </c>
      <c r="L11">
        <v>0.5089051430911451</v>
      </c>
      <c r="M11">
        <v>-0.20627062059337389</v>
      </c>
      <c r="N11">
        <v>-1.4217391304347826</v>
      </c>
      <c r="O11">
        <v>-0.15974400878586156</v>
      </c>
      <c r="R11">
        <v>3.3443891023277872</v>
      </c>
      <c r="S11">
        <v>2.5779195518779976</v>
      </c>
      <c r="T11">
        <v>1.8077700100420431</v>
      </c>
      <c r="U11">
        <v>1.6146403092769168</v>
      </c>
      <c r="V11" t="s">
        <v>45</v>
      </c>
    </row>
    <row r="12" spans="1:22" x14ac:dyDescent="0.3">
      <c r="A12">
        <v>57</v>
      </c>
      <c r="B12">
        <v>52</v>
      </c>
      <c r="C12">
        <v>40058.93</v>
      </c>
      <c r="D12" t="s">
        <v>7</v>
      </c>
      <c r="E12" t="s">
        <v>12</v>
      </c>
      <c r="F12" t="s">
        <v>14</v>
      </c>
      <c r="G12">
        <v>3</v>
      </c>
      <c r="H12" t="s">
        <v>18</v>
      </c>
      <c r="I12">
        <v>2</v>
      </c>
      <c r="J12">
        <v>0.77421786890919475</v>
      </c>
      <c r="L12">
        <v>0.79480690887268746</v>
      </c>
      <c r="M12">
        <v>-0.73291656831300445</v>
      </c>
      <c r="N12">
        <v>1.1869565217391307</v>
      </c>
      <c r="O12">
        <v>-0.15974400878586156</v>
      </c>
      <c r="R12">
        <v>2.4955515423364623</v>
      </c>
      <c r="S12">
        <v>4.0707310952284947</v>
      </c>
      <c r="T12">
        <v>1.8551426706426335</v>
      </c>
      <c r="U12">
        <v>1.3556843882438681</v>
      </c>
      <c r="V12" t="s">
        <v>45</v>
      </c>
    </row>
    <row r="13" spans="1:22" x14ac:dyDescent="0.3">
      <c r="A13">
        <v>60</v>
      </c>
      <c r="B13">
        <v>53</v>
      </c>
      <c r="C13">
        <v>37662.660000000003</v>
      </c>
      <c r="D13" t="s">
        <v>8</v>
      </c>
      <c r="E13" t="s">
        <v>11</v>
      </c>
      <c r="F13" t="s">
        <v>13</v>
      </c>
      <c r="G13">
        <v>1</v>
      </c>
      <c r="H13" t="s">
        <v>17</v>
      </c>
      <c r="I13">
        <v>1</v>
      </c>
      <c r="J13">
        <v>0.6169236551384738</v>
      </c>
      <c r="L13">
        <v>0.86628235031807299</v>
      </c>
      <c r="M13">
        <v>-0.8930325185701975</v>
      </c>
      <c r="N13">
        <v>-1.4217391304347826</v>
      </c>
      <c r="O13">
        <v>-1.3007726429705861</v>
      </c>
      <c r="R13">
        <v>3.8683271815506579</v>
      </c>
      <c r="S13">
        <v>3.0845637386626517</v>
      </c>
      <c r="T13">
        <v>2.7422977765017968</v>
      </c>
      <c r="U13">
        <v>1.7477775593834479</v>
      </c>
      <c r="V13" t="s">
        <v>45</v>
      </c>
    </row>
    <row r="14" spans="1:22" x14ac:dyDescent="0.3">
      <c r="A14">
        <v>13</v>
      </c>
      <c r="B14">
        <v>53</v>
      </c>
      <c r="C14">
        <v>56868.28</v>
      </c>
      <c r="D14" t="s">
        <v>8</v>
      </c>
      <c r="E14" t="s">
        <v>12</v>
      </c>
      <c r="F14" t="s">
        <v>15</v>
      </c>
      <c r="G14">
        <v>2</v>
      </c>
      <c r="H14" t="s">
        <v>17</v>
      </c>
      <c r="I14">
        <v>1</v>
      </c>
      <c r="J14">
        <v>0.5426437035628674</v>
      </c>
      <c r="L14">
        <v>0.86628235031807299</v>
      </c>
      <c r="M14">
        <v>0.39026447908806067</v>
      </c>
      <c r="N14">
        <v>-0.11739130434782591</v>
      </c>
      <c r="O14">
        <v>-1.3007726429705861</v>
      </c>
      <c r="R14">
        <v>3.0006492129529039</v>
      </c>
      <c r="S14">
        <v>2.3806309237901733</v>
      </c>
      <c r="T14">
        <v>2.5793848790531957</v>
      </c>
      <c r="U14">
        <v>1.7861185907012416</v>
      </c>
      <c r="V14" t="s">
        <v>45</v>
      </c>
    </row>
    <row r="15" spans="1:22" x14ac:dyDescent="0.3">
      <c r="A15">
        <v>73</v>
      </c>
      <c r="B15">
        <v>53</v>
      </c>
      <c r="C15">
        <v>30171.85</v>
      </c>
      <c r="D15" t="s">
        <v>7</v>
      </c>
      <c r="E15" t="s">
        <v>12</v>
      </c>
      <c r="F15" t="s">
        <v>15</v>
      </c>
      <c r="G15">
        <v>2</v>
      </c>
      <c r="H15" t="s">
        <v>18</v>
      </c>
      <c r="I15">
        <v>2</v>
      </c>
      <c r="J15">
        <v>0.61840294592850131</v>
      </c>
      <c r="L15">
        <v>0.86628235031807299</v>
      </c>
      <c r="M15">
        <v>-1.3935596550556879</v>
      </c>
      <c r="N15">
        <v>-0.11739130434782591</v>
      </c>
      <c r="O15">
        <v>-0.15974400878586156</v>
      </c>
      <c r="R15">
        <v>3.1280655399250903</v>
      </c>
      <c r="S15">
        <v>3.9464833396309462</v>
      </c>
      <c r="T15">
        <v>1.5749485266614325</v>
      </c>
      <c r="U15">
        <v>0.47737997248235287</v>
      </c>
      <c r="V15" t="s">
        <v>45</v>
      </c>
    </row>
    <row r="16" spans="1:22" x14ac:dyDescent="0.3">
      <c r="A16">
        <v>38</v>
      </c>
      <c r="B16">
        <v>54</v>
      </c>
      <c r="C16">
        <v>46567.29</v>
      </c>
      <c r="D16" t="s">
        <v>7</v>
      </c>
      <c r="E16" t="s">
        <v>9</v>
      </c>
      <c r="F16" t="s">
        <v>15</v>
      </c>
      <c r="G16">
        <v>2</v>
      </c>
      <c r="H16" t="s">
        <v>17</v>
      </c>
      <c r="I16">
        <v>1</v>
      </c>
      <c r="J16">
        <v>0.57458493744692096</v>
      </c>
      <c r="L16">
        <v>0.93775779176345864</v>
      </c>
      <c r="M16">
        <v>-0.29803558828324739</v>
      </c>
      <c r="N16">
        <v>-0.11739130434782591</v>
      </c>
      <c r="O16">
        <v>-1.3007726429705861</v>
      </c>
      <c r="R16">
        <v>3.066924918298525</v>
      </c>
      <c r="S16">
        <v>2.9022094039079152</v>
      </c>
      <c r="T16">
        <v>2.4297049308405021</v>
      </c>
      <c r="U16">
        <v>1.3303975551681402</v>
      </c>
      <c r="V16" t="s">
        <v>45</v>
      </c>
    </row>
    <row r="17" spans="1:22" x14ac:dyDescent="0.3">
      <c r="A17">
        <v>22</v>
      </c>
      <c r="B17">
        <v>55</v>
      </c>
      <c r="C17">
        <v>35516.629999999997</v>
      </c>
      <c r="D17" t="s">
        <v>7</v>
      </c>
      <c r="E17" t="s">
        <v>11</v>
      </c>
      <c r="F17" t="s">
        <v>15</v>
      </c>
      <c r="G17">
        <v>2</v>
      </c>
      <c r="H17" t="s">
        <v>17</v>
      </c>
      <c r="I17">
        <v>1</v>
      </c>
      <c r="J17">
        <v>0.18007795946934935</v>
      </c>
      <c r="L17">
        <v>1.0092332332088441</v>
      </c>
      <c r="M17">
        <v>-1.0364277255921297</v>
      </c>
      <c r="N17">
        <v>-0.11739130434782591</v>
      </c>
      <c r="O17">
        <v>-1.3007726429705861</v>
      </c>
      <c r="R17">
        <v>3.2977945471822059</v>
      </c>
      <c r="S17">
        <v>3.5254338882610963</v>
      </c>
      <c r="T17">
        <v>2.4809290360547811</v>
      </c>
      <c r="U17">
        <v>1.1453683943766568</v>
      </c>
      <c r="V17" t="s">
        <v>45</v>
      </c>
    </row>
    <row r="18" spans="1:22" x14ac:dyDescent="0.3">
      <c r="A18">
        <v>7</v>
      </c>
      <c r="B18">
        <v>56</v>
      </c>
      <c r="C18">
        <v>36554.97</v>
      </c>
      <c r="D18" t="s">
        <v>8</v>
      </c>
      <c r="E18" t="s">
        <v>9</v>
      </c>
      <c r="F18" t="s">
        <v>15</v>
      </c>
      <c r="G18">
        <v>2</v>
      </c>
      <c r="H18" t="s">
        <v>18</v>
      </c>
      <c r="I18">
        <v>2</v>
      </c>
      <c r="J18">
        <v>0.10670579701196026</v>
      </c>
      <c r="L18">
        <v>1.0807086746542298</v>
      </c>
      <c r="M18">
        <v>-0.96704706490278547</v>
      </c>
      <c r="N18">
        <v>-0.11739130434782591</v>
      </c>
      <c r="O18">
        <v>-0.15974400878586156</v>
      </c>
      <c r="R18">
        <v>3.129862052796029</v>
      </c>
      <c r="S18">
        <v>3.6791296540124496</v>
      </c>
      <c r="T18">
        <v>1.5224575679158723</v>
      </c>
      <c r="U18">
        <v>5.5511151231257827E-16</v>
      </c>
      <c r="V18" t="s">
        <v>45</v>
      </c>
    </row>
    <row r="19" spans="1:22" x14ac:dyDescent="0.3">
      <c r="A19">
        <v>14</v>
      </c>
      <c r="B19">
        <v>57</v>
      </c>
      <c r="C19">
        <v>24735.69</v>
      </c>
      <c r="D19" t="s">
        <v>8</v>
      </c>
      <c r="E19" t="s">
        <v>11</v>
      </c>
      <c r="F19" t="s">
        <v>13</v>
      </c>
      <c r="G19">
        <v>1</v>
      </c>
      <c r="H19" t="s">
        <v>16</v>
      </c>
      <c r="I19">
        <v>3</v>
      </c>
      <c r="J19">
        <v>0.29237767914729129</v>
      </c>
      <c r="L19">
        <v>1.1521841160996154</v>
      </c>
      <c r="M19">
        <v>-1.7567974889183759</v>
      </c>
      <c r="N19">
        <v>-1.4217391304347826</v>
      </c>
      <c r="O19">
        <v>0.98128462539886296</v>
      </c>
      <c r="R19">
        <v>4.343506419544835</v>
      </c>
      <c r="S19">
        <v>4.596611968342919</v>
      </c>
      <c r="T19">
        <v>2.0238130689280416</v>
      </c>
      <c r="U19">
        <v>1.9058027354398053</v>
      </c>
      <c r="V19" t="s">
        <v>45</v>
      </c>
    </row>
    <row r="20" spans="1:22" x14ac:dyDescent="0.3">
      <c r="A20">
        <v>28</v>
      </c>
      <c r="B20">
        <v>61</v>
      </c>
      <c r="C20">
        <v>56359.15</v>
      </c>
      <c r="D20" t="s">
        <v>7</v>
      </c>
      <c r="E20" t="s">
        <v>11</v>
      </c>
      <c r="F20" t="s">
        <v>14</v>
      </c>
      <c r="G20">
        <v>3</v>
      </c>
      <c r="H20" t="s">
        <v>17</v>
      </c>
      <c r="I20">
        <v>1</v>
      </c>
      <c r="J20">
        <v>0.92154306508892803</v>
      </c>
      <c r="L20">
        <v>1.4380858818811577</v>
      </c>
      <c r="M20">
        <v>0.35624500976513612</v>
      </c>
      <c r="N20">
        <v>1.1869565217391307</v>
      </c>
      <c r="O20">
        <v>-1.3007726429705861</v>
      </c>
      <c r="R20">
        <v>3.2231785997656286</v>
      </c>
      <c r="S20">
        <v>3.5600893165860117</v>
      </c>
      <c r="T20">
        <v>3.07152879114774</v>
      </c>
      <c r="U20">
        <v>2.2095451972230578</v>
      </c>
      <c r="V20" t="s">
        <v>45</v>
      </c>
    </row>
    <row r="21" spans="1:22" x14ac:dyDescent="0.3">
      <c r="A21">
        <v>54</v>
      </c>
      <c r="B21">
        <v>61</v>
      </c>
      <c r="C21">
        <v>42293.19</v>
      </c>
      <c r="D21" t="s">
        <v>7</v>
      </c>
      <c r="E21" t="s">
        <v>12</v>
      </c>
      <c r="F21" t="s">
        <v>15</v>
      </c>
      <c r="G21">
        <v>2</v>
      </c>
      <c r="H21" t="s">
        <v>17</v>
      </c>
      <c r="I21">
        <v>1</v>
      </c>
      <c r="J21">
        <v>0.77252226968913962</v>
      </c>
      <c r="L21">
        <v>1.4380858818811577</v>
      </c>
      <c r="M21">
        <v>-0.58362593619657488</v>
      </c>
      <c r="N21">
        <v>-0.11739130434782591</v>
      </c>
      <c r="O21">
        <v>-1.3007726429705861</v>
      </c>
      <c r="R21">
        <v>3.5296408862164066</v>
      </c>
      <c r="S21">
        <v>3.3726927960974455</v>
      </c>
      <c r="T21">
        <v>2.6197457881542303</v>
      </c>
      <c r="U21">
        <v>1.2556578252904418</v>
      </c>
      <c r="V21" t="s">
        <v>45</v>
      </c>
    </row>
    <row r="22" spans="1:22" x14ac:dyDescent="0.3">
      <c r="A22">
        <v>20</v>
      </c>
      <c r="B22">
        <v>61</v>
      </c>
      <c r="C22">
        <v>37341.550000000003</v>
      </c>
      <c r="D22" t="s">
        <v>8</v>
      </c>
      <c r="E22" t="s">
        <v>9</v>
      </c>
      <c r="F22" t="s">
        <v>14</v>
      </c>
      <c r="G22">
        <v>3</v>
      </c>
      <c r="H22" t="s">
        <v>16</v>
      </c>
      <c r="I22">
        <v>3</v>
      </c>
      <c r="J22">
        <v>0.34206289079555507</v>
      </c>
      <c r="L22">
        <v>1.4380858818811577</v>
      </c>
      <c r="M22">
        <v>-0.91448871206554128</v>
      </c>
      <c r="N22">
        <v>1.1869565217391307</v>
      </c>
      <c r="O22">
        <v>0.98128462539886296</v>
      </c>
      <c r="R22">
        <v>3.3626007535383517</v>
      </c>
      <c r="S22">
        <v>4.8421741753144705</v>
      </c>
      <c r="T22">
        <v>1.8630121318463135</v>
      </c>
      <c r="U22">
        <v>1.7702402221578601</v>
      </c>
      <c r="V22" t="s">
        <v>45</v>
      </c>
    </row>
    <row r="23" spans="1:22" x14ac:dyDescent="0.3">
      <c r="A23">
        <v>70</v>
      </c>
      <c r="B23">
        <v>61</v>
      </c>
      <c r="C23">
        <v>20901.330000000002</v>
      </c>
      <c r="D23" t="s">
        <v>8</v>
      </c>
      <c r="E23" t="s">
        <v>10</v>
      </c>
      <c r="F23" t="s">
        <v>15</v>
      </c>
      <c r="G23">
        <v>2</v>
      </c>
      <c r="H23" t="s">
        <v>18</v>
      </c>
      <c r="I23">
        <v>2</v>
      </c>
      <c r="J23">
        <v>0.30898327740357456</v>
      </c>
      <c r="L23">
        <v>1.4380858818811577</v>
      </c>
      <c r="M23">
        <v>-2.0130049259050975</v>
      </c>
      <c r="N23">
        <v>-0.11739130434782591</v>
      </c>
      <c r="O23">
        <v>-0.15974400878586156</v>
      </c>
      <c r="R23">
        <v>3.8862428200935315</v>
      </c>
      <c r="S23">
        <v>4.6743960751956299</v>
      </c>
      <c r="T23">
        <v>2.2407192682551544</v>
      </c>
      <c r="U23">
        <v>1.1053263387967596</v>
      </c>
      <c r="V23" t="s">
        <v>45</v>
      </c>
    </row>
    <row r="24" spans="1:22" x14ac:dyDescent="0.3">
      <c r="A24">
        <v>36</v>
      </c>
      <c r="B24">
        <v>61</v>
      </c>
      <c r="C24">
        <v>45257.51</v>
      </c>
      <c r="D24" t="s">
        <v>7</v>
      </c>
      <c r="E24" t="s">
        <v>9</v>
      </c>
      <c r="F24" t="s">
        <v>15</v>
      </c>
      <c r="G24">
        <v>2</v>
      </c>
      <c r="H24" t="s">
        <v>18</v>
      </c>
      <c r="I24">
        <v>2</v>
      </c>
      <c r="J24">
        <v>0.29767278379176731</v>
      </c>
      <c r="L24">
        <v>1.4380858818811577</v>
      </c>
      <c r="M24">
        <v>-0.3855535513374384</v>
      </c>
      <c r="N24">
        <v>-0.11739130434782591</v>
      </c>
      <c r="O24">
        <v>-0.15974400878586156</v>
      </c>
      <c r="R24">
        <v>3.3063425065153149</v>
      </c>
      <c r="S24">
        <v>3.424651158899735</v>
      </c>
      <c r="T24">
        <v>1.7302095579839289</v>
      </c>
      <c r="U24">
        <v>0.68253437610415757</v>
      </c>
      <c r="V24" t="s">
        <v>45</v>
      </c>
    </row>
    <row r="25" spans="1:22" x14ac:dyDescent="0.3">
      <c r="A25">
        <v>89</v>
      </c>
      <c r="B25">
        <v>62</v>
      </c>
      <c r="C25">
        <v>39195.53</v>
      </c>
      <c r="D25" t="s">
        <v>8</v>
      </c>
      <c r="E25" t="s">
        <v>12</v>
      </c>
      <c r="F25" t="s">
        <v>13</v>
      </c>
      <c r="G25">
        <v>1</v>
      </c>
      <c r="H25" t="s">
        <v>17</v>
      </c>
      <c r="I25">
        <v>1</v>
      </c>
      <c r="J25">
        <v>0.51220029339391127</v>
      </c>
      <c r="L25">
        <v>1.5095613233265432</v>
      </c>
      <c r="M25">
        <v>-0.79060794343019114</v>
      </c>
      <c r="N25">
        <v>-1.4217391304347826</v>
      </c>
      <c r="O25">
        <v>-1.3007726429705861</v>
      </c>
      <c r="R25">
        <v>4.2796066582375563</v>
      </c>
      <c r="S25">
        <v>3.3196054246226119</v>
      </c>
      <c r="T25">
        <v>2.9663479632530265</v>
      </c>
      <c r="U25">
        <v>1.7939662631461351</v>
      </c>
      <c r="V25" t="s">
        <v>45</v>
      </c>
    </row>
    <row r="26" spans="1:22" x14ac:dyDescent="0.3">
      <c r="A26">
        <v>56</v>
      </c>
      <c r="B26">
        <v>64</v>
      </c>
      <c r="C26">
        <v>28122.25</v>
      </c>
      <c r="D26" t="s">
        <v>8</v>
      </c>
      <c r="E26" t="s">
        <v>10</v>
      </c>
      <c r="F26" t="s">
        <v>14</v>
      </c>
      <c r="G26">
        <v>3</v>
      </c>
      <c r="H26" t="s">
        <v>17</v>
      </c>
      <c r="I26">
        <v>1</v>
      </c>
      <c r="J26">
        <v>0.10624542912838442</v>
      </c>
      <c r="L26">
        <v>1.6525122062173143</v>
      </c>
      <c r="M26">
        <v>-1.5305115226028103</v>
      </c>
      <c r="N26">
        <v>1.1869565217391307</v>
      </c>
      <c r="O26">
        <v>-1.3007726429705861</v>
      </c>
      <c r="R26">
        <v>3.7746355975331065</v>
      </c>
      <c r="S26">
        <v>4.7897492753239774</v>
      </c>
      <c r="T26">
        <v>3.1736833445102182</v>
      </c>
      <c r="U26">
        <v>1.9099008008916132</v>
      </c>
      <c r="V26" t="s">
        <v>45</v>
      </c>
    </row>
    <row r="27" spans="1:22" x14ac:dyDescent="0.3">
      <c r="A27">
        <v>85</v>
      </c>
      <c r="B27">
        <v>64</v>
      </c>
      <c r="C27">
        <v>33548.720000000001</v>
      </c>
      <c r="D27" t="s">
        <v>8</v>
      </c>
      <c r="E27" t="s">
        <v>9</v>
      </c>
      <c r="F27" t="s">
        <v>14</v>
      </c>
      <c r="G27">
        <v>3</v>
      </c>
      <c r="H27" t="s">
        <v>18</v>
      </c>
      <c r="I27">
        <v>2</v>
      </c>
      <c r="J27">
        <v>0.49829067729705812</v>
      </c>
      <c r="L27">
        <v>1.6525122062173143</v>
      </c>
      <c r="M27">
        <v>-1.167921163172466</v>
      </c>
      <c r="N27">
        <v>1.1869565217391307</v>
      </c>
      <c r="O27">
        <v>-0.15974400878586156</v>
      </c>
      <c r="R27">
        <v>3.4507848436819493</v>
      </c>
      <c r="S27">
        <v>4.6775874890709215</v>
      </c>
      <c r="T27">
        <v>2.3677083904433256</v>
      </c>
      <c r="U27">
        <v>1.4382742900717658</v>
      </c>
      <c r="V27" t="s">
        <v>45</v>
      </c>
    </row>
    <row r="28" spans="1:22" x14ac:dyDescent="0.3">
      <c r="A28">
        <v>35</v>
      </c>
      <c r="B28">
        <v>64</v>
      </c>
      <c r="C28">
        <v>40845.17</v>
      </c>
      <c r="D28" t="s">
        <v>7</v>
      </c>
      <c r="E28" t="s">
        <v>11</v>
      </c>
      <c r="F28" t="s">
        <v>13</v>
      </c>
      <c r="G28">
        <v>1</v>
      </c>
      <c r="H28" t="s">
        <v>18</v>
      </c>
      <c r="I28">
        <v>2</v>
      </c>
      <c r="J28">
        <v>0.44492903591237554</v>
      </c>
      <c r="L28">
        <v>1.6525122062173143</v>
      </c>
      <c r="M28">
        <v>-0.68038093387689536</v>
      </c>
      <c r="N28">
        <v>-1.4217391304347826</v>
      </c>
      <c r="O28">
        <v>-0.15974400878586156</v>
      </c>
      <c r="R28">
        <v>4.2109343497883636</v>
      </c>
      <c r="S28">
        <v>3.5086471055641759</v>
      </c>
      <c r="T28">
        <v>2.2949992953216833</v>
      </c>
      <c r="U28">
        <v>1.452742234810821</v>
      </c>
      <c r="V28" t="s">
        <v>45</v>
      </c>
    </row>
    <row r="30" spans="1:22" x14ac:dyDescent="0.3">
      <c r="B30">
        <f>AVERAGE(B3:B28)</f>
        <v>51.692307692307693</v>
      </c>
      <c r="C30">
        <f>AVERAGE(C3:C28)</f>
        <v>39550.465000000004</v>
      </c>
    </row>
  </sheetData>
  <autoFilter ref="A1:V1" xr:uid="{84DF23A7-07EB-49C1-860E-A86D1376D3E1}">
    <sortState xmlns:xlrd2="http://schemas.microsoft.com/office/spreadsheetml/2017/richdata2" ref="A2:V28">
      <sortCondition ref="B1"/>
    </sortState>
  </autoFilter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FBF3EC92010C40AB709614A881B78C" ma:contentTypeVersion="15" ma:contentTypeDescription="Create a new document." ma:contentTypeScope="" ma:versionID="dd3f59c9f486cbfddcdfb9b37138712e">
  <xsd:schema xmlns:xsd="http://www.w3.org/2001/XMLSchema" xmlns:xs="http://www.w3.org/2001/XMLSchema" xmlns:p="http://schemas.microsoft.com/office/2006/metadata/properties" xmlns:ns2="1f9ef79d-73e0-4e80-a94e-bca4aac6ae19" xmlns:ns3="37e8a054-c3ef-4ef6-bc24-8e81f835a26f" targetNamespace="http://schemas.microsoft.com/office/2006/metadata/properties" ma:root="true" ma:fieldsID="21e7cb913070bc3ec95a44464f7bed5e" ns2:_="" ns3:_="">
    <xsd:import namespace="1f9ef79d-73e0-4e80-a94e-bca4aac6ae19"/>
    <xsd:import namespace="37e8a054-c3ef-4ef6-bc24-8e81f835a2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9ef79d-73e0-4e80-a94e-bca4aac6ae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5c95d3fb-baf3-48f9-acdd-2801d4749b3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e8a054-c3ef-4ef6-bc24-8e81f835a26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169eb3a-83a6-49f9-813c-0ee44a74ddf7}" ma:internalName="TaxCatchAll" ma:showField="CatchAllData" ma:web="37e8a054-c3ef-4ef6-bc24-8e81f835a2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f9ef79d-73e0-4e80-a94e-bca4aac6ae19">
      <Terms xmlns="http://schemas.microsoft.com/office/infopath/2007/PartnerControls"/>
    </lcf76f155ced4ddcb4097134ff3c332f>
    <TaxCatchAll xmlns="37e8a054-c3ef-4ef6-bc24-8e81f835a26f" xsi:nil="true"/>
  </documentManagement>
</p:properties>
</file>

<file path=customXml/itemProps1.xml><?xml version="1.0" encoding="utf-8"?>
<ds:datastoreItem xmlns:ds="http://schemas.openxmlformats.org/officeDocument/2006/customXml" ds:itemID="{64513223-BB8B-4C19-A4E6-0B4CFA8BA6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763A40-EC99-4DC3-9379-12D1456914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9ef79d-73e0-4e80-a94e-bca4aac6ae19"/>
    <ds:schemaRef ds:uri="37e8a054-c3ef-4ef6-bc24-8e81f835a2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7F1279D-4B79-47CF-B8E9-26E58F421CE3}">
  <ds:schemaRefs>
    <ds:schemaRef ds:uri="http://schemas.microsoft.com/office/2006/metadata/properties"/>
    <ds:schemaRef ds:uri="http://schemas.microsoft.com/office/infopath/2007/PartnerControls"/>
    <ds:schemaRef ds:uri="1f9ef79d-73e0-4e80-a94e-bca4aac6ae19"/>
    <ds:schemaRef ds:uri="37e8a054-c3ef-4ef6-bc24-8e81f835a26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Clustered</vt:lpstr>
      <vt:lpstr>Cluster 1</vt:lpstr>
      <vt:lpstr>Cluster 2</vt:lpstr>
      <vt:lpstr>Cluster 3</vt:lpstr>
      <vt:lpstr>Cluster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patty zakaria</dc:creator>
  <cp:lastModifiedBy>Teddy Fabrizio Baeny Vargas</cp:lastModifiedBy>
  <dcterms:created xsi:type="dcterms:W3CDTF">2024-10-04T23:18:57Z</dcterms:created>
  <dcterms:modified xsi:type="dcterms:W3CDTF">2024-12-04T07:07:35Z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0x0101003CFBF3EC92010C40AB709614A881B78C</vt:lpwstr>
  </property>
</Properties>
</file>