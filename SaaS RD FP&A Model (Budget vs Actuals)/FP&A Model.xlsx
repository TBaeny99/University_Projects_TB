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Teddy\Downloads\"/>
    </mc:Choice>
  </mc:AlternateContent>
  <xr:revisionPtr revIDLastSave="0" documentId="13_ncr:1_{4ED3BFEB-8AAB-4F80-A880-3ADB0437DC20}" xr6:coauthVersionLast="47" xr6:coauthVersionMax="47" xr10:uidLastSave="{00000000-0000-0000-0000-000000000000}"/>
  <bookViews>
    <workbookView xWindow="-108" yWindow="-108" windowWidth="23256" windowHeight="12456" activeTab="1" xr2:uid="{6A826271-E484-465A-A50B-59E7425909FB}"/>
  </bookViews>
  <sheets>
    <sheet name="Raw_Data" sheetId="1" r:id="rId1"/>
    <sheet name="Pivot_Analysis" sheetId="7" r:id="rId2"/>
    <sheet name="Budget" sheetId="2" r:id="rId3"/>
    <sheet name="Variance_Engine" sheetId="3" r:id="rId4"/>
    <sheet name="Executive_Summary" sheetId="4" r:id="rId5"/>
  </sheets>
  <definedNames>
    <definedName name="Slicer_Category">#N/A</definedName>
  </definedNames>
  <calcPr calcId="191029"/>
  <pivotCaches>
    <pivotCache cacheId="12"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14" i="4" l="1"/>
  <c r="C14" i="4"/>
  <c r="D13" i="4"/>
  <c r="F13" i="4" s="1"/>
  <c r="C13" i="4"/>
  <c r="D12" i="4"/>
  <c r="F12" i="4" s="1"/>
  <c r="C12" i="4"/>
  <c r="D11" i="4"/>
  <c r="C11" i="4"/>
  <c r="D10" i="4"/>
  <c r="E10" i="4" s="1"/>
  <c r="C10" i="4"/>
  <c r="C15" i="4" s="1"/>
  <c r="D6" i="4"/>
  <c r="E6" i="4"/>
  <c r="F6" i="4"/>
  <c r="C6" i="4"/>
  <c r="B3" i="4"/>
  <c r="E14" i="4" l="1"/>
  <c r="F11" i="4"/>
  <c r="E13" i="4"/>
  <c r="E12" i="4"/>
  <c r="D15" i="4"/>
  <c r="E11" i="4"/>
  <c r="F10" i="4"/>
  <c r="F14" i="4"/>
  <c r="G18" i="3"/>
  <c r="F18" i="3"/>
  <c r="D18" i="3"/>
  <c r="E18" i="3"/>
  <c r="C18" i="3"/>
  <c r="G5" i="3"/>
  <c r="G6" i="3"/>
  <c r="G7" i="3"/>
  <c r="G8" i="3"/>
  <c r="G9" i="3"/>
  <c r="G10" i="3"/>
  <c r="G11" i="3"/>
  <c r="G12" i="3"/>
  <c r="G13" i="3"/>
  <c r="G14" i="3"/>
  <c r="G15" i="3"/>
  <c r="G16" i="3"/>
  <c r="G17" i="3"/>
  <c r="G4" i="3"/>
  <c r="F5" i="3"/>
  <c r="F6" i="3"/>
  <c r="F7" i="3"/>
  <c r="F8" i="3"/>
  <c r="F9" i="3"/>
  <c r="F10" i="3"/>
  <c r="F11" i="3"/>
  <c r="F12" i="3"/>
  <c r="F13" i="3"/>
  <c r="F14" i="3"/>
  <c r="F15" i="3"/>
  <c r="F16" i="3"/>
  <c r="F17" i="3"/>
  <c r="F4" i="3"/>
  <c r="E5" i="3"/>
  <c r="E6" i="3"/>
  <c r="E7" i="3"/>
  <c r="E8" i="3"/>
  <c r="E9" i="3"/>
  <c r="E10" i="3"/>
  <c r="E11" i="3"/>
  <c r="E12" i="3"/>
  <c r="E13" i="3"/>
  <c r="E14" i="3"/>
  <c r="E15" i="3"/>
  <c r="E16" i="3"/>
  <c r="E17" i="3"/>
  <c r="E4" i="3"/>
  <c r="D5" i="3" a="1"/>
  <c r="D5" i="3"/>
  <c r="D6" i="3" a="1"/>
  <c r="D6" i="3"/>
  <c r="D7" i="3" a="1"/>
  <c r="D7" i="3"/>
  <c r="D8" i="3" a="1"/>
  <c r="D8" i="3"/>
  <c r="D9" i="3" a="1"/>
  <c r="D9" i="3"/>
  <c r="D10" i="3" a="1"/>
  <c r="D10" i="3"/>
  <c r="D11" i="3" a="1"/>
  <c r="D11" i="3"/>
  <c r="D12" i="3" a="1"/>
  <c r="D12" i="3"/>
  <c r="D13" i="3" a="1"/>
  <c r="D13" i="3"/>
  <c r="D14" i="3" a="1"/>
  <c r="D14" i="3"/>
  <c r="D15" i="3" a="1"/>
  <c r="D15" i="3"/>
  <c r="D16" i="3" a="1"/>
  <c r="D16" i="3"/>
  <c r="D17" i="3" a="1"/>
  <c r="D17" i="3"/>
  <c r="D4" i="3" a="1"/>
  <c r="D4" i="3" s="1"/>
  <c r="C4" i="3" a="1"/>
  <c r="C4" i="3" s="1"/>
  <c r="C5" i="3" a="1"/>
  <c r="C5" i="3" s="1"/>
  <c r="C6" i="3" a="1"/>
  <c r="C6" i="3" s="1"/>
  <c r="C7" i="3" a="1"/>
  <c r="C7" i="3" s="1"/>
  <c r="C8" i="3" a="1"/>
  <c r="C8" i="3" s="1"/>
  <c r="C9" i="3" a="1"/>
  <c r="C9" i="3" s="1"/>
  <c r="C10" i="3" a="1"/>
  <c r="C10" i="3" s="1"/>
  <c r="C11" i="3" a="1"/>
  <c r="C11" i="3" s="1"/>
  <c r="C12" i="3" a="1"/>
  <c r="C12" i="3"/>
  <c r="C13" i="3" a="1"/>
  <c r="C13" i="3" s="1"/>
  <c r="C14" i="3" a="1"/>
  <c r="C14" i="3" s="1"/>
  <c r="C15" i="3" a="1"/>
  <c r="C15" i="3" s="1"/>
  <c r="C16" i="3" a="1"/>
  <c r="C16" i="3" s="1"/>
  <c r="C17" i="3" a="1"/>
  <c r="C17" i="3" s="1"/>
  <c r="O18" i="2"/>
  <c r="O5" i="2"/>
  <c r="O6" i="2"/>
  <c r="O7" i="2"/>
  <c r="O8" i="2"/>
  <c r="O9" i="2"/>
  <c r="O10" i="2"/>
  <c r="O11" i="2"/>
  <c r="O12" i="2"/>
  <c r="O13" i="2"/>
  <c r="O14" i="2"/>
  <c r="O15" i="2"/>
  <c r="O16" i="2"/>
  <c r="O17" i="2"/>
  <c r="O4" i="2"/>
  <c r="N18" i="2"/>
  <c r="M18" i="2"/>
  <c r="L18" i="2"/>
  <c r="K18" i="2"/>
  <c r="J18" i="2"/>
  <c r="I18" i="2"/>
  <c r="H18" i="2"/>
  <c r="G18" i="2"/>
  <c r="F18" i="2"/>
  <c r="E18" i="2"/>
  <c r="D18" i="2"/>
  <c r="C18" i="2"/>
  <c r="D18" i="1"/>
  <c r="E18" i="1"/>
  <c r="F18" i="1"/>
  <c r="G18" i="1"/>
  <c r="H18" i="1"/>
  <c r="I18" i="1"/>
  <c r="J18" i="1"/>
  <c r="K18" i="1"/>
  <c r="L18" i="1"/>
  <c r="M18" i="1"/>
  <c r="N18" i="1"/>
  <c r="C18" i="1"/>
  <c r="E15" i="4" l="1"/>
  <c r="F15"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<sst xmlns="http://schemas.openxmlformats.org/spreadsheetml/2006/main" count="192" uniqueCount="79">
  <si>
    <t>Saas R&amp;D FP&amp;A Model - Monthly Actuals Data</t>
  </si>
  <si>
    <t xml:space="preserve">Source: ERP System Export │  Last Updated: June 2026  │  Units: USD </t>
  </si>
  <si>
    <t>Department</t>
  </si>
  <si>
    <t>Jan-26</t>
  </si>
  <si>
    <t>Apr-26</t>
  </si>
  <si>
    <t>Category</t>
  </si>
  <si>
    <t>Feb-26</t>
  </si>
  <si>
    <t>Mar-26</t>
  </si>
  <si>
    <t>May-26</t>
  </si>
  <si>
    <t>Jun-26</t>
  </si>
  <si>
    <t>Jul-26</t>
  </si>
  <si>
    <t>Aug-26</t>
  </si>
  <si>
    <t>Sep-26</t>
  </si>
  <si>
    <t>Oct-26</t>
  </si>
  <si>
    <t>Nov-26</t>
  </si>
  <si>
    <t>Dec-26</t>
  </si>
  <si>
    <t>Cloud &amp; Infrastructure</t>
  </si>
  <si>
    <t>Software &amp; Licenses</t>
  </si>
  <si>
    <t>Other R&amp;D Expenses</t>
  </si>
  <si>
    <t>Software Engineering</t>
  </si>
  <si>
    <t>Data &amp; ML Engineering</t>
  </si>
  <si>
    <t>Product Management</t>
  </si>
  <si>
    <t>QA &amp; DevOps</t>
  </si>
  <si>
    <t>AWS / Azure Compute</t>
  </si>
  <si>
    <t>Data Storage &amp; DBs</t>
  </si>
  <si>
    <t>Security &amp; Monitoring</t>
  </si>
  <si>
    <t>Dev Tools (Github, Jira)</t>
  </si>
  <si>
    <t>AI/ML Platforms</t>
  </si>
  <si>
    <t>External Dev Contractors</t>
  </si>
  <si>
    <t>Research &amp; Partnerships</t>
  </si>
  <si>
    <t>Travel &amp; Conferences</t>
  </si>
  <si>
    <t>Training &amp; Development</t>
  </si>
  <si>
    <t>Equipment &amp; Hardware</t>
  </si>
  <si>
    <t>TOTAL ACTUALS</t>
  </si>
  <si>
    <t>TOTAL BUDGET</t>
  </si>
  <si>
    <t>Saas R&amp;D FP&amp;A Model - Annual Budget Plan (FY2026)</t>
  </si>
  <si>
    <t>FY 2026 Total</t>
  </si>
  <si>
    <t xml:space="preserve">Source: ERP System Export │  Last Updated: Dec 2025  │  Units: USD </t>
  </si>
  <si>
    <t>VARIANCE ENGINE - Actuals vs. Budget Analysis</t>
  </si>
  <si>
    <t xml:space="preserve">SELECT REPORTING MONTH: </t>
  </si>
  <si>
    <t>YTD Actuals</t>
  </si>
  <si>
    <t>YTD Budget</t>
  </si>
  <si>
    <t>Variance</t>
  </si>
  <si>
    <t>Var (%)</t>
  </si>
  <si>
    <t>Status</t>
  </si>
  <si>
    <t>TOTAL R&amp;D</t>
  </si>
  <si>
    <t>R&amp;D PERFORMANCE FINANCIAL REPORT</t>
  </si>
  <si>
    <t>YTD ACTUALS</t>
  </si>
  <si>
    <t>YTD BUDGET</t>
  </si>
  <si>
    <t>VARIANCE (%)</t>
  </si>
  <si>
    <t>VARIANCE ($)</t>
  </si>
  <si>
    <t>SPEND BY CATEGORY -- YTD ACTUALS VS BUDGET</t>
  </si>
  <si>
    <t>CATEGORY</t>
  </si>
  <si>
    <t>Compensation &amp; Benefits</t>
  </si>
  <si>
    <t>Contracts &amp; Vendors</t>
  </si>
  <si>
    <t>KEY OBSERVATIONS &amp; COMMENTS</t>
  </si>
  <si>
    <t>GENERAL OUTLOOK</t>
  </si>
  <si>
    <t xml:space="preserve">WHAT TO LOOK OUT FOR? </t>
  </si>
  <si>
    <t>RECOMMENDATIONS &amp; SUGGESTIONS</t>
  </si>
  <si>
    <t>There is a clear overbudget tendency in all the categories in the R&amp;D department. Considering that it is only June, the department needs to decrease their expenses or at least justify this difference with the previous budget.</t>
  </si>
  <si>
    <t xml:space="preserve">There was a huge increase in software engineering expenses that needs to be addressed for the remainder of the year. </t>
  </si>
  <si>
    <t>AWS/Azure cloud services costs increased in the year and has to be checked. There isn't many issues with software and licenses as it is the smallest difference.</t>
  </si>
  <si>
    <t>Contracts and Vendors as well as other expenses have small values but high variance percentage mainly with travel and external contractors costs going high.</t>
  </si>
  <si>
    <t>All 4 areas besides software and licenses have increased substantially and a new forecast can be done if the decision is to lower the budget considering that it is only mid-year and that expenses were expected to increase for the next months.</t>
  </si>
  <si>
    <t>Grand Total</t>
  </si>
  <si>
    <t>Sum of Jan-26</t>
  </si>
  <si>
    <t>Sum of Feb-26</t>
  </si>
  <si>
    <t>Sum of Mar-26</t>
  </si>
  <si>
    <t>Sum of Apr-26</t>
  </si>
  <si>
    <t>Sum of May-26</t>
  </si>
  <si>
    <t>Sum of Jun-26</t>
  </si>
  <si>
    <t>Sum of Jul-26</t>
  </si>
  <si>
    <t>Sum of Aug-26</t>
  </si>
  <si>
    <t>Sum of Sep-26</t>
  </si>
  <si>
    <t>Sum of Oct-26</t>
  </si>
  <si>
    <t>Sum of Nov-26</t>
  </si>
  <si>
    <t>Sum of Dec-26</t>
  </si>
  <si>
    <t>"</t>
  </si>
  <si>
    <t>ACTUALS BY CATEGORY AND DEPARTMENT - FY2026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</si>
</sst>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quot;($&quot;#,##0\);\-"/>
    <numFmt numFmtId="165" formatCode="0.0%"/>
  </numFmts>
  <fonts count="21" x14ac:knownFonts="1">
    <font>
      <sz val="11"/>
      <color theme="1"/>
      <name val="Aptos Narrow"/>
      <family val="2"/>
      <scheme val="minor"/>
    </font>
    <font>
      <b/>
      <sz val="16"/>
      <color theme="0"/>
      <name val="Arial"/>
      <family val="2"/>
    </font>
    <font>
      <sz val="9"/>
      <color theme="1" tint="0.249977111117893"/>
      <name val="Arial"/>
      <family val="2"/>
    </font>
    <font>
      <sz val="8"/>
      <name val="Aptos Narrow"/>
      <family val="2"/>
      <scheme val="minor"/>
    </font>
    <font>
      <b/>
      <sz val="10"/>
      <color rgb="FFFFFFFF"/>
      <name val="Arial"/>
      <family val="2"/>
    </font>
    <font>
      <b/>
      <sz val="10"/>
      <color theme="1"/>
      <name val="Arial"/>
      <family val="2"/>
    </font>
    <font>
      <sz val="10"/>
      <color theme="1"/>
      <name val="Arial"/>
      <family val="2"/>
    </font>
    <font>
      <b/>
      <sz val="12"/>
      <color theme="0" tint="-4.9989318521683403E-2"/>
      <name val="Arial"/>
      <family val="2"/>
    </font>
    <font>
      <b/>
      <sz val="11"/>
      <color theme="0" tint="-4.9989318521683403E-2"/>
      <name val="Aptos Narrow"/>
      <family val="2"/>
      <scheme val="minor"/>
    </font>
    <font>
      <b/>
      <sz val="11"/>
      <color theme="1"/>
      <name val="Aptos Narrow"/>
      <family val="2"/>
      <scheme val="minor"/>
    </font>
    <font>
      <sz val="11"/>
      <color theme="1"/>
      <name val="Arial"/>
      <family val="2"/>
    </font>
    <font>
      <sz val="11"/>
      <color theme="1"/>
      <name val="Aptos Narrow"/>
      <family val="2"/>
      <scheme val="minor"/>
    </font>
    <font>
      <sz val="10"/>
      <color theme="4" tint="0.39997558519241921"/>
      <name val="Arial"/>
      <family val="2"/>
    </font>
    <font>
      <b/>
      <sz val="10"/>
      <color theme="0"/>
      <name val="Arial"/>
      <family val="2"/>
    </font>
    <font>
      <sz val="10"/>
      <color theme="9" tint="-0.249977111117893"/>
      <name val="Arial"/>
      <family val="2"/>
    </font>
    <font>
      <b/>
      <sz val="10"/>
      <color theme="0" tint="-4.9989318521683403E-2"/>
      <name val="Arial"/>
      <family val="2"/>
    </font>
    <font>
      <b/>
      <sz val="14"/>
      <color theme="0"/>
      <name val="Arial"/>
      <family val="2"/>
    </font>
    <font>
      <b/>
      <sz val="11"/>
      <color theme="0"/>
      <name val="Arial"/>
      <family val="2"/>
    </font>
    <font>
      <sz val="11"/>
      <color theme="0"/>
      <name val="Arial"/>
      <family val="2"/>
    </font>
    <font>
      <sz val="10"/>
      <color theme="9"/>
      <name val="Arial"/>
      <family val="2"/>
    </font>
    <font>
      <b/>
      <sz val="11"/>
      <color theme="1"/>
      <name val="Arial"/>
      <family val="2"/>
    </font>
  </fonts>
  <fills count="22">
    <fill>
      <patternFill patternType="none"/>
    </fill>
    <fill>
      <patternFill patternType="gray125"/>
    </fill>
    <fill>
      <patternFill patternType="solid">
        <fgColor theme="2" tint="-9.9978637043366805E-2"/>
        <bgColor indexed="64"/>
      </patternFill>
    </fill>
    <fill>
      <patternFill patternType="solid">
        <fgColor rgb="FF2E5FA3"/>
        <bgColor rgb="FF3366FF"/>
      </patternFill>
    </fill>
    <fill>
      <patternFill patternType="solid">
        <fgColor rgb="FFFFFFFF"/>
        <bgColor rgb="FFF9F9F9"/>
      </patternFill>
    </fill>
    <fill>
      <patternFill patternType="solid">
        <fgColor theme="7" tint="-0.249977111117893"/>
        <bgColor indexed="64"/>
      </patternFill>
    </fill>
    <fill>
      <patternFill patternType="solid">
        <fgColor theme="3" tint="0.89999084444715716"/>
        <bgColor indexed="64"/>
      </patternFill>
    </fill>
    <fill>
      <patternFill patternType="solid">
        <fgColor theme="3" tint="0.89999084444715716"/>
        <bgColor rgb="FFF2F2F2"/>
      </patternFill>
    </fill>
    <fill>
      <patternFill patternType="solid">
        <fgColor theme="5" tint="-0.249977111117893"/>
        <bgColor rgb="FF3366FF"/>
      </patternFill>
    </fill>
    <fill>
      <patternFill patternType="solid">
        <fgColor theme="5" tint="-0.499984740745262"/>
        <bgColor indexed="64"/>
      </patternFill>
    </fill>
    <fill>
      <patternFill patternType="solid">
        <fgColor theme="5" tint="0.79998168889431442"/>
        <bgColor indexed="64"/>
      </patternFill>
    </fill>
    <fill>
      <patternFill patternType="solid">
        <fgColor theme="5" tint="0.79998168889431442"/>
        <bgColor rgb="FFF2F2F2"/>
      </patternFill>
    </fill>
    <fill>
      <patternFill patternType="solid">
        <fgColor theme="3" tint="0.249977111117893"/>
        <bgColor indexed="64"/>
      </patternFill>
    </fill>
    <fill>
      <patternFill patternType="solid">
        <fgColor theme="6" tint="-0.249977111117893"/>
        <bgColor indexed="64"/>
      </patternFill>
    </fill>
    <fill>
      <patternFill patternType="solid">
        <fgColor theme="9" tint="-0.249977111117893"/>
        <bgColor rgb="FF3366FF"/>
      </patternFill>
    </fill>
    <fill>
      <patternFill patternType="solid">
        <fgColor rgb="FFFFFF00"/>
        <bgColor indexed="64"/>
      </patternFill>
    </fill>
    <fill>
      <patternFill patternType="solid">
        <fgColor theme="8" tint="-0.249977111117893"/>
        <bgColor indexed="64"/>
      </patternFill>
    </fill>
    <fill>
      <patternFill patternType="solid">
        <fgColor theme="8" tint="0.39997558519241921"/>
        <bgColor indexed="64"/>
      </patternFill>
    </fill>
    <fill>
      <patternFill patternType="solid">
        <fgColor theme="5" tint="-0.249977111117893"/>
        <bgColor indexed="64"/>
      </patternFill>
    </fill>
    <fill>
      <patternFill patternType="solid">
        <fgColor rgb="FF00B0F0"/>
        <bgColor indexed="64"/>
      </patternFill>
    </fill>
    <fill>
      <patternFill patternType="solid">
        <fgColor theme="3" tint="0.499984740745262"/>
        <bgColor indexed="64"/>
      </patternFill>
    </fill>
    <fill>
      <patternFill patternType="solid">
        <fgColor theme="3" tint="9.9978637043366805E-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diagonal/>
    </border>
    <border>
      <left/>
      <right/>
      <top style="thin">
        <color indexed="64"/>
      </top>
      <bottom/>
      <diagonal/>
    </border>
    <border>
      <left style="thin">
        <color rgb="FFBFBFBF"/>
      </left>
      <right style="thin">
        <color rgb="FFBFBFBF"/>
      </right>
      <top style="thin">
        <color rgb="FFBFBFBF"/>
      </top>
      <bottom style="thin">
        <color rgb="FFBFBFBF"/>
      </bottom>
      <diagonal/>
    </border>
    <border>
      <left style="thin">
        <color theme="0"/>
      </left>
      <right style="thin">
        <color theme="0"/>
      </right>
      <top style="thin">
        <color theme="0"/>
      </top>
      <bottom style="thin">
        <color theme="0"/>
      </bottom>
      <diagonal/>
    </border>
  </borders>
  <cellStyleXfs count="2">
    <xf numFmtId="0" fontId="0" fillId="0" borderId="0"/>
    <xf numFmtId="9" fontId="11" fillId="0" borderId="0" applyFont="0" applyFill="0" applyBorder="0" applyAlignment="0" applyProtection="0"/>
  </cellStyleXfs>
  <cellXfs count="66">
    <xf numFmtId="0" fontId="0" fillId="0" borderId="0" xfId="0"/>
    <xf numFmtId="0" fontId="4" fillId="3" borderId="2" xfId="0" applyFont="1" applyFill="1" applyBorder="1" applyAlignment="1">
      <alignment horizontal="center" vertical="center" wrapText="1"/>
    </xf>
    <xf numFmtId="0" fontId="5" fillId="0" borderId="1" xfId="0" applyFont="1" applyBorder="1"/>
    <xf numFmtId="0" fontId="6" fillId="0" borderId="1" xfId="0" applyFont="1" applyBorder="1"/>
    <xf numFmtId="0" fontId="5" fillId="6" borderId="1" xfId="0" applyFont="1" applyFill="1" applyBorder="1"/>
    <xf numFmtId="0" fontId="6" fillId="6" borderId="1" xfId="0" applyFont="1" applyFill="1" applyBorder="1"/>
    <xf numFmtId="164" fontId="8" fillId="5" borderId="0" xfId="0" applyNumberFormat="1" applyFont="1" applyFill="1" applyAlignment="1">
      <alignment horizontal="center"/>
    </xf>
    <xf numFmtId="0" fontId="4" fillId="8" borderId="2" xfId="0" applyFont="1" applyFill="1" applyBorder="1" applyAlignment="1">
      <alignment horizontal="center" vertical="center" wrapText="1"/>
    </xf>
    <xf numFmtId="164" fontId="9" fillId="0" borderId="1" xfId="0" applyNumberFormat="1" applyFont="1" applyBorder="1" applyAlignment="1">
      <alignment horizontal="center" vertical="center"/>
    </xf>
    <xf numFmtId="0" fontId="5" fillId="10" borderId="1" xfId="0" applyFont="1" applyFill="1" applyBorder="1"/>
    <xf numFmtId="0" fontId="6" fillId="10" borderId="1" xfId="0" applyFont="1" applyFill="1" applyBorder="1"/>
    <xf numFmtId="164" fontId="9" fillId="10" borderId="1" xfId="0" applyNumberFormat="1" applyFont="1" applyFill="1" applyBorder="1" applyAlignment="1">
      <alignment horizontal="center" vertical="center"/>
    </xf>
    <xf numFmtId="0" fontId="4" fillId="14" borderId="2" xfId="0" applyFont="1" applyFill="1" applyBorder="1" applyAlignment="1">
      <alignment horizontal="center" vertical="center" wrapText="1"/>
    </xf>
    <xf numFmtId="164" fontId="12" fillId="7" borderId="1" xfId="0" applyNumberFormat="1" applyFont="1" applyFill="1" applyBorder="1" applyAlignment="1">
      <alignment horizontal="center" vertical="center" wrapText="1"/>
    </xf>
    <xf numFmtId="164" fontId="12" fillId="4" borderId="1" xfId="0" applyNumberFormat="1" applyFont="1" applyFill="1" applyBorder="1" applyAlignment="1">
      <alignment horizontal="center" vertical="center" wrapText="1"/>
    </xf>
    <xf numFmtId="164" fontId="12" fillId="11" borderId="1" xfId="0" applyNumberFormat="1" applyFont="1" applyFill="1" applyBorder="1" applyAlignment="1">
      <alignment horizontal="center" vertical="center" wrapText="1"/>
    </xf>
    <xf numFmtId="0" fontId="4" fillId="3" borderId="4" xfId="0" applyFont="1" applyFill="1" applyBorder="1" applyAlignment="1">
      <alignment horizontal="center" vertical="center" wrapText="1"/>
    </xf>
    <xf numFmtId="49" fontId="0" fillId="15" borderId="0" xfId="0" applyNumberFormat="1" applyFill="1" applyAlignment="1">
      <alignment horizontal="center" vertical="center"/>
    </xf>
    <xf numFmtId="0" fontId="6" fillId="0" borderId="0" xfId="0" applyFont="1" applyAlignment="1">
      <alignment horizontal="center" vertical="center"/>
    </xf>
    <xf numFmtId="0" fontId="6" fillId="10" borderId="0" xfId="0" applyFont="1" applyFill="1" applyAlignment="1">
      <alignment horizontal="center" vertical="center"/>
    </xf>
    <xf numFmtId="0" fontId="13" fillId="13" borderId="0" xfId="0" applyFont="1" applyFill="1" applyAlignment="1">
      <alignment horizontal="center" vertical="center"/>
    </xf>
    <xf numFmtId="164" fontId="14" fillId="10" borderId="0" xfId="0" applyNumberFormat="1" applyFont="1" applyFill="1"/>
    <xf numFmtId="164" fontId="6" fillId="10" borderId="0" xfId="0" applyNumberFormat="1" applyFont="1" applyFill="1"/>
    <xf numFmtId="165" fontId="6" fillId="10" borderId="0" xfId="1" applyNumberFormat="1" applyFont="1" applyFill="1"/>
    <xf numFmtId="164" fontId="14" fillId="0" borderId="0" xfId="0" applyNumberFormat="1" applyFont="1"/>
    <xf numFmtId="164" fontId="6" fillId="0" borderId="0" xfId="0" applyNumberFormat="1" applyFont="1"/>
    <xf numFmtId="165" fontId="6" fillId="0" borderId="0" xfId="1" applyNumberFormat="1" applyFont="1"/>
    <xf numFmtId="164" fontId="15" fillId="9" borderId="0" xfId="0" applyNumberFormat="1" applyFont="1" applyFill="1" applyAlignment="1">
      <alignment horizontal="center"/>
    </xf>
    <xf numFmtId="164" fontId="13" fillId="9" borderId="0" xfId="0" applyNumberFormat="1" applyFont="1" applyFill="1"/>
    <xf numFmtId="164" fontId="13" fillId="13" borderId="0" xfId="0" applyNumberFormat="1" applyFont="1" applyFill="1"/>
    <xf numFmtId="165" fontId="13" fillId="13" borderId="0" xfId="1" applyNumberFormat="1" applyFont="1" applyFill="1"/>
    <xf numFmtId="0" fontId="17" fillId="12" borderId="5" xfId="0" applyFont="1" applyFill="1" applyBorder="1"/>
    <xf numFmtId="0" fontId="17" fillId="19" borderId="5" xfId="0" applyFont="1" applyFill="1" applyBorder="1"/>
    <xf numFmtId="0" fontId="17" fillId="18" borderId="5" xfId="0" applyFont="1" applyFill="1" applyBorder="1"/>
    <xf numFmtId="0" fontId="17" fillId="13" borderId="5" xfId="0" applyFont="1" applyFill="1" applyBorder="1"/>
    <xf numFmtId="164" fontId="16" fillId="12" borderId="5" xfId="0" applyNumberFormat="1" applyFont="1" applyFill="1" applyBorder="1" applyAlignment="1">
      <alignment horizontal="center" vertical="center"/>
    </xf>
    <xf numFmtId="164" fontId="16" fillId="18" borderId="5" xfId="0" applyNumberFormat="1" applyFont="1" applyFill="1" applyBorder="1" applyAlignment="1">
      <alignment horizontal="center" vertical="center"/>
    </xf>
    <xf numFmtId="164" fontId="16" fillId="13" borderId="5" xfId="0" applyNumberFormat="1" applyFont="1" applyFill="1" applyBorder="1" applyAlignment="1">
      <alignment horizontal="center" vertical="center"/>
    </xf>
    <xf numFmtId="10" fontId="16" fillId="19" borderId="5" xfId="1" applyNumberFormat="1" applyFont="1" applyFill="1" applyBorder="1" applyAlignment="1">
      <alignment horizontal="center" vertical="center"/>
    </xf>
    <xf numFmtId="0" fontId="18" fillId="17" borderId="0" xfId="0" applyFont="1" applyFill="1"/>
    <xf numFmtId="0" fontId="5" fillId="0" borderId="0" xfId="0" applyFont="1"/>
    <xf numFmtId="164" fontId="19" fillId="0" borderId="0" xfId="0" applyNumberFormat="1" applyFont="1" applyAlignment="1">
      <alignment horizontal="center" vertical="center"/>
    </xf>
    <xf numFmtId="10" fontId="6" fillId="0" borderId="0" xfId="1" applyNumberFormat="1" applyFont="1"/>
    <xf numFmtId="0" fontId="17" fillId="16" borderId="0" xfId="0" applyFont="1" applyFill="1"/>
    <xf numFmtId="164" fontId="17" fillId="16" borderId="0" xfId="0" applyNumberFormat="1" applyFont="1" applyFill="1"/>
    <xf numFmtId="10" fontId="17" fillId="16" borderId="0" xfId="1" applyNumberFormat="1" applyFont="1" applyFill="1"/>
    <xf numFmtId="0" fontId="20" fillId="0" borderId="1" xfId="0" applyFont="1" applyBorder="1" applyAlignment="1">
      <alignment horizontal="center" vertical="center"/>
    </xf>
    <xf numFmtId="0" fontId="10" fillId="0" borderId="1" xfId="0" applyFont="1" applyBorder="1" applyAlignment="1">
      <alignment horizontal="left" vertical="center" wrapText="1"/>
    </xf>
    <xf numFmtId="0" fontId="16" fillId="16" borderId="0" xfId="0" applyFont="1" applyFill="1" applyAlignment="1">
      <alignment horizontal="center" vertical="center"/>
    </xf>
    <xf numFmtId="0" fontId="10" fillId="17" borderId="0" xfId="0" applyFont="1" applyFill="1" applyAlignment="1">
      <alignment horizontal="center" vertical="center"/>
    </xf>
    <xf numFmtId="0" fontId="17" fillId="16" borderId="0" xfId="0" applyFont="1" applyFill="1" applyAlignment="1">
      <alignment horizontal="center"/>
    </xf>
    <xf numFmtId="0" fontId="1" fillId="12" borderId="0" xfId="0" applyFont="1" applyFill="1" applyAlignment="1">
      <alignment horizontal="center" vertical="center"/>
    </xf>
    <xf numFmtId="0" fontId="2" fillId="2" borderId="0" xfId="0" applyFont="1" applyFill="1" applyAlignment="1">
      <alignment horizontal="center" vertical="center"/>
    </xf>
    <xf numFmtId="0" fontId="7" fillId="5" borderId="3" xfId="0" applyFont="1" applyFill="1" applyBorder="1" applyAlignment="1">
      <alignment horizontal="center"/>
    </xf>
    <xf numFmtId="0" fontId="7" fillId="9" borderId="3" xfId="0" applyFont="1" applyFill="1" applyBorder="1" applyAlignment="1">
      <alignment horizontal="center"/>
    </xf>
    <xf numFmtId="0" fontId="1" fillId="9" borderId="0" xfId="0" applyFont="1" applyFill="1" applyAlignment="1">
      <alignment horizontal="center" vertical="center"/>
    </xf>
    <xf numFmtId="0" fontId="1" fillId="13" borderId="0" xfId="0" applyFont="1" applyFill="1" applyAlignment="1">
      <alignment horizontal="center"/>
    </xf>
    <xf numFmtId="0" fontId="10" fillId="0" borderId="0" xfId="0" applyFont="1" applyAlignment="1">
      <alignment horizontal="center"/>
    </xf>
    <xf numFmtId="0" fontId="7" fillId="13" borderId="3" xfId="0" applyFont="1" applyFill="1" applyBorder="1" applyAlignment="1">
      <alignment horizontal="center"/>
    </xf>
    <xf numFmtId="0" fontId="16" fillId="21" borderId="0" xfId="0" applyFont="1" applyFill="1" applyAlignment="1">
      <alignment horizontal="center" vertical="center"/>
    </xf>
    <xf numFmtId="0" fontId="10" fillId="20" borderId="1" xfId="0" applyFont="1" applyFill="1" applyBorder="1"/>
    <xf numFmtId="0" fontId="10" fillId="0" borderId="1" xfId="0" applyFont="1" applyBorder="1" applyAlignment="1">
      <alignment horizontal="left"/>
    </xf>
    <xf numFmtId="164" fontId="10" fillId="0" borderId="1" xfId="0" applyNumberFormat="1" applyFont="1" applyBorder="1"/>
    <xf numFmtId="0" fontId="10" fillId="0" borderId="1" xfId="0" applyFont="1" applyBorder="1" applyAlignment="1">
      <alignment horizontal="left" indent="1"/>
    </xf>
    <xf numFmtId="0" fontId="10" fillId="20" borderId="1" xfId="0" applyFont="1" applyFill="1" applyBorder="1" applyAlignment="1">
      <alignment horizontal="left"/>
    </xf>
    <xf numFmtId="164" fontId="10" fillId="20" borderId="1" xfId="0" applyNumberFormat="1" applyFont="1" applyFill="1" applyBorder="1"/>
  </cellXfs>
  <cellStyles count="2">
    <cellStyle name="Normal" xfId="0" builtinId="0"/>
    <cellStyle name="Percent" xfId="1" builtinId="5"/>
  </cellStyles>
  <dxfs count="280">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25</xdr:row>
      <xdr:rowOff>175260</xdr:rowOff>
    </xdr:from>
    <xdr:to>
      <xdr:col>0</xdr:col>
      <xdr:colOff>1851660</xdr:colOff>
      <xdr:row>40</xdr:row>
      <xdr:rowOff>13335</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5358936F-D335-97F6-A63F-4B1D9C452AF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2860" y="4747260"/>
              <a:ext cx="1828800" cy="258127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ddy" refreshedDate="46205.976193634262" createdVersion="8" refreshedVersion="8" minRefreshableVersion="3" recordCount="15" xr:uid="{F20703A3-0CF4-49DF-86E7-07715DDE80D3}">
  <cacheSource type="worksheet">
    <worksheetSource ref="A3:N18" sheet="Raw_Data"/>
  </cacheSource>
  <cacheFields count="14">
    <cacheField name="Category" numFmtId="0">
      <sharedItems count="6">
        <s v="Compensation &amp; Benefits"/>
        <s v="Cloud &amp; Infrastructure"/>
        <s v="Software &amp; Licenses"/>
        <s v="Contracts &amp; Vendors"/>
        <s v="Other R&amp;D Expenses"/>
        <s v="TOTAL ACTUALS"/>
      </sharedItems>
    </cacheField>
    <cacheField name="Department" numFmtId="0">
      <sharedItems containsBlank="1" count="15">
        <s v="Software Engineering"/>
        <s v="Data &amp; ML Engineering"/>
        <s v="Product Management"/>
        <s v="QA &amp; DevOps"/>
        <s v="AWS / Azure Compute"/>
        <s v="Data Storage &amp; DBs"/>
        <s v="Security &amp; Monitoring"/>
        <s v="Dev Tools (Github, Jira)"/>
        <s v="AI/ML Platforms"/>
        <s v="External Dev Contractors"/>
        <s v="Research &amp; Partnerships"/>
        <s v="Travel &amp; Conferences"/>
        <s v="Training &amp; Development"/>
        <s v="Equipment &amp; Hardware"/>
        <m/>
      </sharedItems>
    </cacheField>
    <cacheField name="Jan-26" numFmtId="164">
      <sharedItems containsSemiMixedTypes="0" containsString="0" containsNumber="1" containsInteger="1" minValue="6000" maxValue="1066000"/>
    </cacheField>
    <cacheField name="Feb-26" numFmtId="164">
      <sharedItems containsSemiMixedTypes="0" containsString="0" containsNumber="1" containsInteger="1" minValue="2000" maxValue="1081000"/>
    </cacheField>
    <cacheField name="Mar-26" numFmtId="164">
      <sharedItems containsSemiMixedTypes="0" containsString="0" containsNumber="1" containsInteger="1" minValue="4000" maxValue="1088500"/>
    </cacheField>
    <cacheField name="Apr-26" numFmtId="164">
      <sharedItems containsSemiMixedTypes="0" containsString="0" containsNumber="1" containsInteger="1" minValue="6000" maxValue="1135000"/>
    </cacheField>
    <cacheField name="May-26" numFmtId="164">
      <sharedItems containsSemiMixedTypes="0" containsString="0" containsNumber="1" containsInteger="1" minValue="3000" maxValue="1140500"/>
    </cacheField>
    <cacheField name="Jun-26" numFmtId="164">
      <sharedItems containsSemiMixedTypes="0" containsString="0" containsNumber="1" containsInteger="1" minValue="6000" maxValue="1163500"/>
    </cacheField>
    <cacheField name="Jul-26" numFmtId="164">
      <sharedItems containsSemiMixedTypes="0" containsString="0" containsNumber="1" containsInteger="1" minValue="6000" maxValue="1188500"/>
    </cacheField>
    <cacheField name="Aug-26" numFmtId="164">
      <sharedItems containsSemiMixedTypes="0" containsString="0" containsNumber="1" containsInteger="1" minValue="2000" maxValue="1162500"/>
    </cacheField>
    <cacheField name="Sep-26" numFmtId="164">
      <sharedItems containsSemiMixedTypes="0" containsString="0" containsNumber="1" containsInteger="1" minValue="5000" maxValue="1204000"/>
    </cacheField>
    <cacheField name="Oct-26" numFmtId="164">
      <sharedItems containsSemiMixedTypes="0" containsString="0" containsNumber="1" containsInteger="1" minValue="6000" maxValue="1233500"/>
    </cacheField>
    <cacheField name="Nov-26" numFmtId="164">
      <sharedItems containsSemiMixedTypes="0" containsString="0" containsNumber="1" containsInteger="1" minValue="3000" maxValue="1233000"/>
    </cacheField>
    <cacheField name="Dec-26" numFmtId="164">
      <sharedItems containsSemiMixedTypes="0" containsString="0" containsNumber="1" containsInteger="1" minValue="7000" maxValue="1276000"/>
    </cacheField>
  </cacheFields>
  <extLst>
    <ext xmlns:x14="http://schemas.microsoft.com/office/spreadsheetml/2009/9/main" uri="{725AE2AE-9491-48be-B2B4-4EB974FC3084}">
      <x14:pivotCacheDefinition pivotCacheId="7683832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n v="420000"/>
    <n v="432000"/>
    <n v="428000"/>
    <n v="445000"/>
    <n v="451000"/>
    <n v="448000"/>
    <n v="460000"/>
    <n v="455000"/>
    <n v="463000"/>
    <n v="471000"/>
    <n v="468000"/>
    <n v="475000"/>
  </r>
  <r>
    <x v="0"/>
    <x v="1"/>
    <n v="185000"/>
    <n v="188000"/>
    <n v="191000"/>
    <n v="195000"/>
    <n v="198000"/>
    <n v="201000"/>
    <n v="205000"/>
    <n v="202000"/>
    <n v="208000"/>
    <n v="211000"/>
    <n v="214000"/>
    <n v="218000"/>
  </r>
  <r>
    <x v="0"/>
    <x v="2"/>
    <n v="120000"/>
    <n v="122000"/>
    <n v="124000"/>
    <n v="127000"/>
    <n v="129000"/>
    <n v="131000"/>
    <n v="134000"/>
    <n v="132000"/>
    <n v="135000"/>
    <n v="138000"/>
    <n v="140000"/>
    <n v="143000"/>
  </r>
  <r>
    <x v="0"/>
    <x v="3"/>
    <n v="95000"/>
    <n v="97000"/>
    <n v="99000"/>
    <n v="101000"/>
    <n v="103000"/>
    <n v="105000"/>
    <n v="107000"/>
    <n v="106000"/>
    <n v="109000"/>
    <n v="111000"/>
    <n v="113000"/>
    <n v="115000"/>
  </r>
  <r>
    <x v="1"/>
    <x v="4"/>
    <n v="68000"/>
    <n v="71000"/>
    <n v="74000"/>
    <n v="77000"/>
    <n v="80000"/>
    <n v="82000"/>
    <n v="85000"/>
    <n v="88000"/>
    <n v="91000"/>
    <n v="93000"/>
    <n v="96000"/>
    <n v="99000"/>
  </r>
  <r>
    <x v="1"/>
    <x v="5"/>
    <n v="28000"/>
    <n v="29000"/>
    <n v="30000"/>
    <n v="31000"/>
    <n v="32000"/>
    <n v="33000"/>
    <n v="34000"/>
    <n v="35000"/>
    <n v="36000"/>
    <n v="37000"/>
    <n v="38000"/>
    <n v="39000"/>
  </r>
  <r>
    <x v="1"/>
    <x v="6"/>
    <n v="18000"/>
    <n v="18500"/>
    <n v="19000"/>
    <n v="19500"/>
    <n v="20000"/>
    <n v="20500"/>
    <n v="21000"/>
    <n v="21500"/>
    <n v="22000"/>
    <n v="22500"/>
    <n v="23000"/>
    <n v="23500"/>
  </r>
  <r>
    <x v="2"/>
    <x v="7"/>
    <n v="12000"/>
    <n v="12000"/>
    <n v="12500"/>
    <n v="12500"/>
    <n v="13000"/>
    <n v="13000"/>
    <n v="13500"/>
    <n v="13500"/>
    <n v="14000"/>
    <n v="14000"/>
    <n v="14500"/>
    <n v="14500"/>
  </r>
  <r>
    <x v="2"/>
    <x v="8"/>
    <n v="22000"/>
    <n v="23000"/>
    <n v="24000"/>
    <n v="25000"/>
    <n v="26000"/>
    <n v="27000"/>
    <n v="28000"/>
    <n v="29000"/>
    <n v="30000"/>
    <n v="31000"/>
    <n v="32000"/>
    <n v="33000"/>
  </r>
  <r>
    <x v="3"/>
    <x v="9"/>
    <n v="55000"/>
    <n v="60000"/>
    <n v="48000"/>
    <n v="52000"/>
    <n v="58000"/>
    <n v="61000"/>
    <n v="45000"/>
    <n v="50000"/>
    <n v="54000"/>
    <n v="57000"/>
    <n v="62000"/>
    <n v="65000"/>
  </r>
  <r>
    <x v="3"/>
    <x v="10"/>
    <n v="15000"/>
    <n v="15000"/>
    <n v="20000"/>
    <n v="15000"/>
    <n v="15000"/>
    <n v="20000"/>
    <n v="15000"/>
    <n v="15000"/>
    <n v="20000"/>
    <n v="15000"/>
    <n v="15000"/>
    <n v="20000"/>
  </r>
  <r>
    <x v="4"/>
    <x v="11"/>
    <n v="8000"/>
    <n v="2000"/>
    <n v="4000"/>
    <n v="18000"/>
    <n v="3000"/>
    <n v="6000"/>
    <n v="22000"/>
    <n v="2000"/>
    <n v="5000"/>
    <n v="15000"/>
    <n v="3000"/>
    <n v="8000"/>
  </r>
  <r>
    <x v="4"/>
    <x v="12"/>
    <n v="6000"/>
    <n v="6500"/>
    <n v="7000"/>
    <n v="6000"/>
    <n v="6500"/>
    <n v="7000"/>
    <n v="6000"/>
    <n v="6500"/>
    <n v="7000"/>
    <n v="6000"/>
    <n v="6500"/>
    <n v="7000"/>
  </r>
  <r>
    <x v="4"/>
    <x v="13"/>
    <n v="14000"/>
    <n v="5000"/>
    <n v="8000"/>
    <n v="11000"/>
    <n v="6000"/>
    <n v="9000"/>
    <n v="13000"/>
    <n v="7000"/>
    <n v="10000"/>
    <n v="12000"/>
    <n v="8000"/>
    <n v="16000"/>
  </r>
  <r>
    <x v="5"/>
    <x v="14"/>
    <n v="1066000"/>
    <n v="1081000"/>
    <n v="1088500"/>
    <n v="1135000"/>
    <n v="1140500"/>
    <n v="1163500"/>
    <n v="1188500"/>
    <n v="1162500"/>
    <n v="1204000"/>
    <n v="1233500"/>
    <n v="1233000"/>
    <n v="127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9FCFB0-9585-4208-92F8-C6E672229715}"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3:M25" firstHeaderRow="0" firstDataRow="1" firstDataCol="1"/>
  <pivotFields count="14">
    <pivotField axis="axisRow" showAll="0">
      <items count="7">
        <item x="1"/>
        <item x="0"/>
        <item x="3"/>
        <item x="4"/>
        <item x="2"/>
        <item x="5"/>
        <item t="default"/>
      </items>
    </pivotField>
    <pivotField axis="axisRow" showAll="0">
      <items count="16">
        <item x="8"/>
        <item x="4"/>
        <item x="1"/>
        <item x="5"/>
        <item x="7"/>
        <item x="13"/>
        <item x="9"/>
        <item x="2"/>
        <item x="3"/>
        <item x="10"/>
        <item x="6"/>
        <item x="0"/>
        <item x="12"/>
        <item x="11"/>
        <item n="&quot;" x="14"/>
        <item t="default"/>
      </items>
    </pivotField>
    <pivotField dataField="1" numFmtId="164" showAll="0"/>
    <pivotField dataField="1" numFmtId="164" showAll="0"/>
    <pivotField dataField="1" numFmtId="164" showAll="0"/>
    <pivotField dataField="1" numFmtId="164" showAll="0"/>
    <pivotField dataField="1" numFmtId="164" showAll="0"/>
    <pivotField dataField="1" numFmtId="164" showAll="0"/>
    <pivotField dataField="1" numFmtId="164" showAll="0"/>
    <pivotField dataField="1" numFmtId="164" showAll="0"/>
    <pivotField dataField="1" numFmtId="164" showAll="0"/>
    <pivotField dataField="1" numFmtId="164" showAll="0"/>
    <pivotField dataField="1" numFmtId="164" showAll="0"/>
    <pivotField dataField="1" numFmtId="164" showAll="0"/>
  </pivotFields>
  <rowFields count="2">
    <field x="0"/>
    <field x="1"/>
  </rowFields>
  <rowItems count="22">
    <i>
      <x/>
    </i>
    <i r="1">
      <x v="1"/>
    </i>
    <i r="1">
      <x v="3"/>
    </i>
    <i r="1">
      <x v="10"/>
    </i>
    <i>
      <x v="1"/>
    </i>
    <i r="1">
      <x v="2"/>
    </i>
    <i r="1">
      <x v="7"/>
    </i>
    <i r="1">
      <x v="8"/>
    </i>
    <i r="1">
      <x v="11"/>
    </i>
    <i>
      <x v="2"/>
    </i>
    <i r="1">
      <x v="6"/>
    </i>
    <i r="1">
      <x v="9"/>
    </i>
    <i>
      <x v="3"/>
    </i>
    <i r="1">
      <x v="5"/>
    </i>
    <i r="1">
      <x v="12"/>
    </i>
    <i r="1">
      <x v="13"/>
    </i>
    <i>
      <x v="4"/>
    </i>
    <i r="1">
      <x/>
    </i>
    <i r="1">
      <x v="4"/>
    </i>
    <i>
      <x v="5"/>
    </i>
    <i r="1">
      <x v="14"/>
    </i>
    <i t="grand">
      <x/>
    </i>
  </rowItems>
  <colFields count="1">
    <field x="-2"/>
  </colFields>
  <colItems count="12">
    <i>
      <x/>
    </i>
    <i i="1">
      <x v="1"/>
    </i>
    <i i="2">
      <x v="2"/>
    </i>
    <i i="3">
      <x v="3"/>
    </i>
    <i i="4">
      <x v="4"/>
    </i>
    <i i="5">
      <x v="5"/>
    </i>
    <i i="6">
      <x v="6"/>
    </i>
    <i i="7">
      <x v="7"/>
    </i>
    <i i="8">
      <x v="8"/>
    </i>
    <i i="9">
      <x v="9"/>
    </i>
    <i i="10">
      <x v="10"/>
    </i>
    <i i="11">
      <x v="11"/>
    </i>
  </colItems>
  <dataFields count="12">
    <dataField name="Sum of Jan-26" fld="2" baseField="0" baseItem="0" numFmtId="164"/>
    <dataField name="Sum of Feb-26" fld="3" baseField="0" baseItem="0" numFmtId="164"/>
    <dataField name="Sum of Mar-26" fld="4" baseField="0" baseItem="0" numFmtId="164"/>
    <dataField name="Sum of Apr-26" fld="5" baseField="0" baseItem="0" numFmtId="164"/>
    <dataField name="Sum of May-26" fld="6" baseField="0" baseItem="0" numFmtId="164"/>
    <dataField name="Sum of Jun-26" fld="7" baseField="0" baseItem="0" numFmtId="164"/>
    <dataField name="Sum of Jul-26" fld="8" baseField="0" baseItem="0" numFmtId="164"/>
    <dataField name="Sum of Aug-26" fld="9" baseField="0" baseItem="0" numFmtId="164"/>
    <dataField name="Sum of Sep-26" fld="10" baseField="0" baseItem="0" numFmtId="164"/>
    <dataField name="Sum of Oct-26" fld="11" baseField="0" baseItem="0" numFmtId="164"/>
    <dataField name="Sum of Nov-26" fld="12" baseField="0" baseItem="0" numFmtId="164"/>
    <dataField name="Sum of Dec-26" fld="13" baseField="0" baseItem="0" numFmtId="164"/>
  </dataFields>
  <formats count="28">
    <format dxfId="279">
      <pivotArea field="0" type="button" dataOnly="0" labelOnly="1" outline="0" axis="axisRow" fieldPosition="0"/>
    </format>
    <format dxfId="278">
      <pivotArea dataOnly="0" labelOnly="1" outline="0" fieldPosition="0">
        <references count="1">
          <reference field="4294967294" count="12">
            <x v="0"/>
            <x v="1"/>
            <x v="2"/>
            <x v="3"/>
            <x v="4"/>
            <x v="5"/>
            <x v="6"/>
            <x v="7"/>
            <x v="8"/>
            <x v="9"/>
            <x v="10"/>
            <x v="11"/>
          </reference>
        </references>
      </pivotArea>
    </format>
    <format dxfId="277">
      <pivotArea grandRow="1" outline="0" collapsedLevelsAreSubtotals="1" fieldPosition="0"/>
    </format>
    <format dxfId="276">
      <pivotArea dataOnly="0" labelOnly="1" grandRow="1" outline="0" fieldPosition="0"/>
    </format>
    <format dxfId="275">
      <pivotArea type="all" dataOnly="0" outline="0" fieldPosition="0"/>
    </format>
    <format dxfId="274">
      <pivotArea outline="0" collapsedLevelsAreSubtotals="1" fieldPosition="0"/>
    </format>
    <format dxfId="273">
      <pivotArea field="0" type="button" dataOnly="0" labelOnly="1" outline="0" axis="axisRow" fieldPosition="0"/>
    </format>
    <format dxfId="272">
      <pivotArea dataOnly="0" labelOnly="1" fieldPosition="0">
        <references count="1">
          <reference field="0" count="0"/>
        </references>
      </pivotArea>
    </format>
    <format dxfId="271">
      <pivotArea dataOnly="0" labelOnly="1" grandRow="1" outline="0" fieldPosition="0"/>
    </format>
    <format dxfId="270">
      <pivotArea dataOnly="0" labelOnly="1" fieldPosition="0">
        <references count="2">
          <reference field="0" count="1" selected="0">
            <x v="0"/>
          </reference>
          <reference field="1" count="3">
            <x v="1"/>
            <x v="3"/>
            <x v="10"/>
          </reference>
        </references>
      </pivotArea>
    </format>
    <format dxfId="269">
      <pivotArea dataOnly="0" labelOnly="1" fieldPosition="0">
        <references count="2">
          <reference field="0" count="1" selected="0">
            <x v="1"/>
          </reference>
          <reference field="1" count="4">
            <x v="2"/>
            <x v="7"/>
            <x v="8"/>
            <x v="11"/>
          </reference>
        </references>
      </pivotArea>
    </format>
    <format dxfId="268">
      <pivotArea dataOnly="0" labelOnly="1" fieldPosition="0">
        <references count="2">
          <reference field="0" count="1" selected="0">
            <x v="2"/>
          </reference>
          <reference field="1" count="2">
            <x v="6"/>
            <x v="9"/>
          </reference>
        </references>
      </pivotArea>
    </format>
    <format dxfId="267">
      <pivotArea dataOnly="0" labelOnly="1" fieldPosition="0">
        <references count="2">
          <reference field="0" count="1" selected="0">
            <x v="3"/>
          </reference>
          <reference field="1" count="3">
            <x v="5"/>
            <x v="12"/>
            <x v="13"/>
          </reference>
        </references>
      </pivotArea>
    </format>
    <format dxfId="266">
      <pivotArea dataOnly="0" labelOnly="1" fieldPosition="0">
        <references count="2">
          <reference field="0" count="1" selected="0">
            <x v="4"/>
          </reference>
          <reference field="1" count="2">
            <x v="0"/>
            <x v="4"/>
          </reference>
        </references>
      </pivotArea>
    </format>
    <format dxfId="265">
      <pivotArea dataOnly="0" labelOnly="1" fieldPosition="0">
        <references count="2">
          <reference field="0" count="1" selected="0">
            <x v="5"/>
          </reference>
          <reference field="1" count="1">
            <x v="14"/>
          </reference>
        </references>
      </pivotArea>
    </format>
    <format dxfId="264">
      <pivotArea dataOnly="0" labelOnly="1" outline="0" fieldPosition="0">
        <references count="1">
          <reference field="4294967294" count="12">
            <x v="0"/>
            <x v="1"/>
            <x v="2"/>
            <x v="3"/>
            <x v="4"/>
            <x v="5"/>
            <x v="6"/>
            <x v="7"/>
            <x v="8"/>
            <x v="9"/>
            <x v="10"/>
            <x v="11"/>
          </reference>
        </references>
      </pivotArea>
    </format>
    <format dxfId="263">
      <pivotArea type="all" dataOnly="0" outline="0" fieldPosition="0"/>
    </format>
    <format dxfId="262">
      <pivotArea outline="0" collapsedLevelsAreSubtotals="1" fieldPosition="0"/>
    </format>
    <format dxfId="261">
      <pivotArea field="0" type="button" dataOnly="0" labelOnly="1" outline="0" axis="axisRow" fieldPosition="0"/>
    </format>
    <format dxfId="260">
      <pivotArea dataOnly="0" labelOnly="1" fieldPosition="0">
        <references count="1">
          <reference field="0" count="0"/>
        </references>
      </pivotArea>
    </format>
    <format dxfId="259">
      <pivotArea dataOnly="0" labelOnly="1" grandRow="1" outline="0" fieldPosition="0"/>
    </format>
    <format dxfId="258">
      <pivotArea dataOnly="0" labelOnly="1" fieldPosition="0">
        <references count="2">
          <reference field="0" count="1" selected="0">
            <x v="0"/>
          </reference>
          <reference field="1" count="3">
            <x v="1"/>
            <x v="3"/>
            <x v="10"/>
          </reference>
        </references>
      </pivotArea>
    </format>
    <format dxfId="257">
      <pivotArea dataOnly="0" labelOnly="1" fieldPosition="0">
        <references count="2">
          <reference field="0" count="1" selected="0">
            <x v="1"/>
          </reference>
          <reference field="1" count="4">
            <x v="2"/>
            <x v="7"/>
            <x v="8"/>
            <x v="11"/>
          </reference>
        </references>
      </pivotArea>
    </format>
    <format dxfId="256">
      <pivotArea dataOnly="0" labelOnly="1" fieldPosition="0">
        <references count="2">
          <reference field="0" count="1" selected="0">
            <x v="2"/>
          </reference>
          <reference field="1" count="2">
            <x v="6"/>
            <x v="9"/>
          </reference>
        </references>
      </pivotArea>
    </format>
    <format dxfId="255">
      <pivotArea dataOnly="0" labelOnly="1" fieldPosition="0">
        <references count="2">
          <reference field="0" count="1" selected="0">
            <x v="3"/>
          </reference>
          <reference field="1" count="3">
            <x v="5"/>
            <x v="12"/>
            <x v="13"/>
          </reference>
        </references>
      </pivotArea>
    </format>
    <format dxfId="254">
      <pivotArea dataOnly="0" labelOnly="1" fieldPosition="0">
        <references count="2">
          <reference field="0" count="1" selected="0">
            <x v="4"/>
          </reference>
          <reference field="1" count="2">
            <x v="0"/>
            <x v="4"/>
          </reference>
        </references>
      </pivotArea>
    </format>
    <format dxfId="253">
      <pivotArea dataOnly="0" labelOnly="1" fieldPosition="0">
        <references count="2">
          <reference field="0" count="1" selected="0">
            <x v="5"/>
          </reference>
          <reference field="1" count="1">
            <x v="14"/>
          </reference>
        </references>
      </pivotArea>
    </format>
    <format dxfId="252">
      <pivotArea dataOnly="0" labelOnly="1" outline="0" fieldPosition="0">
        <references count="1">
          <reference field="4294967294" count="12">
            <x v="0"/>
            <x v="1"/>
            <x v="2"/>
            <x v="3"/>
            <x v="4"/>
            <x v="5"/>
            <x v="6"/>
            <x v="7"/>
            <x v="8"/>
            <x v="9"/>
            <x v="10"/>
            <x v="1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86C0DCA-F7A5-4840-BB85-B6A7F9476112}" sourceName="Category">
  <pivotTables>
    <pivotTable tabId="7" name="PivotTable3"/>
  </pivotTables>
  <data>
    <tabular pivotCacheId="768383249">
      <items count="6">
        <i x="1" s="1"/>
        <i x="0" s="1"/>
        <i x="3" s="1"/>
        <i x="4" s="1"/>
        <i x="2"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AEF7E1F-8A2C-4696-AB30-586D4B1CABA3}" cache="Slicer_Category" caption="Category"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DC873-C33C-4973-A4D3-13F6489DF368}">
  <sheetPr>
    <tabColor theme="3" tint="0.499984740745262"/>
  </sheetPr>
  <dimension ref="A1:N18"/>
  <sheetViews>
    <sheetView workbookViewId="0">
      <selection activeCell="A3" sqref="A3"/>
    </sheetView>
  </sheetViews>
  <sheetFormatPr defaultRowHeight="14.4" x14ac:dyDescent="0.3"/>
  <cols>
    <col min="1" max="1" width="23.77734375" customWidth="1"/>
    <col min="2" max="2" width="22.6640625" customWidth="1"/>
    <col min="3" max="14" width="11.77734375" customWidth="1"/>
  </cols>
  <sheetData>
    <row r="1" spans="1:14" ht="29.4" customHeight="1" x14ac:dyDescent="0.3">
      <c r="A1" s="51" t="s">
        <v>0</v>
      </c>
      <c r="B1" s="51"/>
      <c r="C1" s="51"/>
      <c r="D1" s="51"/>
      <c r="E1" s="51"/>
      <c r="F1" s="51"/>
      <c r="G1" s="51"/>
      <c r="H1" s="51"/>
      <c r="I1" s="51"/>
      <c r="J1" s="51"/>
      <c r="K1" s="51"/>
      <c r="L1" s="51"/>
      <c r="M1" s="51"/>
      <c r="N1" s="51"/>
    </row>
    <row r="2" spans="1:14" ht="18.600000000000001" customHeight="1" x14ac:dyDescent="0.3">
      <c r="A2" s="52" t="s">
        <v>1</v>
      </c>
      <c r="B2" s="52"/>
      <c r="C2" s="52"/>
      <c r="D2" s="52"/>
      <c r="E2" s="52"/>
      <c r="F2" s="52"/>
      <c r="G2" s="52"/>
      <c r="H2" s="52"/>
      <c r="I2" s="52"/>
      <c r="J2" s="52"/>
      <c r="K2" s="52"/>
      <c r="L2" s="52"/>
      <c r="M2" s="52"/>
      <c r="N2" s="52"/>
    </row>
    <row r="3" spans="1:14" x14ac:dyDescent="0.3">
      <c r="A3" s="1" t="s">
        <v>5</v>
      </c>
      <c r="B3" s="1" t="s">
        <v>2</v>
      </c>
      <c r="C3" s="1" t="s">
        <v>3</v>
      </c>
      <c r="D3" s="1" t="s">
        <v>6</v>
      </c>
      <c r="E3" s="1" t="s">
        <v>7</v>
      </c>
      <c r="F3" s="1" t="s">
        <v>4</v>
      </c>
      <c r="G3" s="1" t="s">
        <v>8</v>
      </c>
      <c r="H3" s="16" t="s">
        <v>9</v>
      </c>
      <c r="I3" s="1" t="s">
        <v>10</v>
      </c>
      <c r="J3" s="1" t="s">
        <v>11</v>
      </c>
      <c r="K3" s="1" t="s">
        <v>12</v>
      </c>
      <c r="L3" s="1" t="s">
        <v>13</v>
      </c>
      <c r="M3" s="1" t="s">
        <v>14</v>
      </c>
      <c r="N3" s="1" t="s">
        <v>15</v>
      </c>
    </row>
    <row r="4" spans="1:14" x14ac:dyDescent="0.3">
      <c r="A4" s="4" t="s">
        <v>53</v>
      </c>
      <c r="B4" s="5" t="s">
        <v>19</v>
      </c>
      <c r="C4" s="13">
        <v>420000</v>
      </c>
      <c r="D4" s="13">
        <v>432000</v>
      </c>
      <c r="E4" s="13">
        <v>428000</v>
      </c>
      <c r="F4" s="13">
        <v>445000</v>
      </c>
      <c r="G4" s="13">
        <v>451000</v>
      </c>
      <c r="H4" s="13">
        <v>448000</v>
      </c>
      <c r="I4" s="13">
        <v>460000</v>
      </c>
      <c r="J4" s="13">
        <v>455000</v>
      </c>
      <c r="K4" s="13">
        <v>463000</v>
      </c>
      <c r="L4" s="13">
        <v>471000</v>
      </c>
      <c r="M4" s="13">
        <v>468000</v>
      </c>
      <c r="N4" s="13">
        <v>475000</v>
      </c>
    </row>
    <row r="5" spans="1:14" x14ac:dyDescent="0.3">
      <c r="A5" s="4" t="s">
        <v>53</v>
      </c>
      <c r="B5" s="3" t="s">
        <v>20</v>
      </c>
      <c r="C5" s="14">
        <v>185000</v>
      </c>
      <c r="D5" s="14">
        <v>188000</v>
      </c>
      <c r="E5" s="14">
        <v>191000</v>
      </c>
      <c r="F5" s="14">
        <v>195000</v>
      </c>
      <c r="G5" s="14">
        <v>198000</v>
      </c>
      <c r="H5" s="14">
        <v>201000</v>
      </c>
      <c r="I5" s="14">
        <v>205000</v>
      </c>
      <c r="J5" s="14">
        <v>202000</v>
      </c>
      <c r="K5" s="14">
        <v>208000</v>
      </c>
      <c r="L5" s="14">
        <v>211000</v>
      </c>
      <c r="M5" s="14">
        <v>214000</v>
      </c>
      <c r="N5" s="14">
        <v>218000</v>
      </c>
    </row>
    <row r="6" spans="1:14" x14ac:dyDescent="0.3">
      <c r="A6" s="4" t="s">
        <v>53</v>
      </c>
      <c r="B6" s="5" t="s">
        <v>21</v>
      </c>
      <c r="C6" s="13">
        <v>120000</v>
      </c>
      <c r="D6" s="13">
        <v>122000</v>
      </c>
      <c r="E6" s="13">
        <v>124000</v>
      </c>
      <c r="F6" s="13">
        <v>127000</v>
      </c>
      <c r="G6" s="13">
        <v>129000</v>
      </c>
      <c r="H6" s="13">
        <v>131000</v>
      </c>
      <c r="I6" s="13">
        <v>134000</v>
      </c>
      <c r="J6" s="13">
        <v>132000</v>
      </c>
      <c r="K6" s="13">
        <v>135000</v>
      </c>
      <c r="L6" s="13">
        <v>138000</v>
      </c>
      <c r="M6" s="13">
        <v>140000</v>
      </c>
      <c r="N6" s="13">
        <v>143000</v>
      </c>
    </row>
    <row r="7" spans="1:14" x14ac:dyDescent="0.3">
      <c r="A7" s="4" t="s">
        <v>53</v>
      </c>
      <c r="B7" s="3" t="s">
        <v>22</v>
      </c>
      <c r="C7" s="14">
        <v>95000</v>
      </c>
      <c r="D7" s="14">
        <v>97000</v>
      </c>
      <c r="E7" s="14">
        <v>99000</v>
      </c>
      <c r="F7" s="14">
        <v>101000</v>
      </c>
      <c r="G7" s="14">
        <v>103000</v>
      </c>
      <c r="H7" s="14">
        <v>105000</v>
      </c>
      <c r="I7" s="14">
        <v>107000</v>
      </c>
      <c r="J7" s="14">
        <v>106000</v>
      </c>
      <c r="K7" s="14">
        <v>109000</v>
      </c>
      <c r="L7" s="14">
        <v>111000</v>
      </c>
      <c r="M7" s="14">
        <v>113000</v>
      </c>
      <c r="N7" s="14">
        <v>115000</v>
      </c>
    </row>
    <row r="8" spans="1:14" x14ac:dyDescent="0.3">
      <c r="A8" s="4" t="s">
        <v>16</v>
      </c>
      <c r="B8" s="5" t="s">
        <v>23</v>
      </c>
      <c r="C8" s="13">
        <v>68000</v>
      </c>
      <c r="D8" s="13">
        <v>71000</v>
      </c>
      <c r="E8" s="13">
        <v>74000</v>
      </c>
      <c r="F8" s="13">
        <v>77000</v>
      </c>
      <c r="G8" s="13">
        <v>80000</v>
      </c>
      <c r="H8" s="13">
        <v>82000</v>
      </c>
      <c r="I8" s="13">
        <v>85000</v>
      </c>
      <c r="J8" s="13">
        <v>88000</v>
      </c>
      <c r="K8" s="13">
        <v>91000</v>
      </c>
      <c r="L8" s="13">
        <v>93000</v>
      </c>
      <c r="M8" s="13">
        <v>96000</v>
      </c>
      <c r="N8" s="13">
        <v>99000</v>
      </c>
    </row>
    <row r="9" spans="1:14" x14ac:dyDescent="0.3">
      <c r="A9" s="2" t="s">
        <v>16</v>
      </c>
      <c r="B9" s="3" t="s">
        <v>24</v>
      </c>
      <c r="C9" s="14">
        <v>28000</v>
      </c>
      <c r="D9" s="14">
        <v>29000</v>
      </c>
      <c r="E9" s="14">
        <v>30000</v>
      </c>
      <c r="F9" s="14">
        <v>31000</v>
      </c>
      <c r="G9" s="14">
        <v>32000</v>
      </c>
      <c r="H9" s="14">
        <v>33000</v>
      </c>
      <c r="I9" s="14">
        <v>34000</v>
      </c>
      <c r="J9" s="14">
        <v>35000</v>
      </c>
      <c r="K9" s="14">
        <v>36000</v>
      </c>
      <c r="L9" s="14">
        <v>37000</v>
      </c>
      <c r="M9" s="14">
        <v>38000</v>
      </c>
      <c r="N9" s="14">
        <v>39000</v>
      </c>
    </row>
    <row r="10" spans="1:14" x14ac:dyDescent="0.3">
      <c r="A10" s="4" t="s">
        <v>16</v>
      </c>
      <c r="B10" s="5" t="s">
        <v>25</v>
      </c>
      <c r="C10" s="13">
        <v>18000</v>
      </c>
      <c r="D10" s="13">
        <v>18500</v>
      </c>
      <c r="E10" s="13">
        <v>19000</v>
      </c>
      <c r="F10" s="13">
        <v>19500</v>
      </c>
      <c r="G10" s="13">
        <v>20000</v>
      </c>
      <c r="H10" s="13">
        <v>20500</v>
      </c>
      <c r="I10" s="13">
        <v>21000</v>
      </c>
      <c r="J10" s="13">
        <v>21500</v>
      </c>
      <c r="K10" s="13">
        <v>22000</v>
      </c>
      <c r="L10" s="13">
        <v>22500</v>
      </c>
      <c r="M10" s="13">
        <v>23000</v>
      </c>
      <c r="N10" s="13">
        <v>23500</v>
      </c>
    </row>
    <row r="11" spans="1:14" x14ac:dyDescent="0.3">
      <c r="A11" s="2" t="s">
        <v>17</v>
      </c>
      <c r="B11" s="3" t="s">
        <v>26</v>
      </c>
      <c r="C11" s="14">
        <v>12000</v>
      </c>
      <c r="D11" s="14">
        <v>12000</v>
      </c>
      <c r="E11" s="14">
        <v>12500</v>
      </c>
      <c r="F11" s="14">
        <v>12500</v>
      </c>
      <c r="G11" s="14">
        <v>13000</v>
      </c>
      <c r="H11" s="14">
        <v>13000</v>
      </c>
      <c r="I11" s="14">
        <v>13500</v>
      </c>
      <c r="J11" s="14">
        <v>13500</v>
      </c>
      <c r="K11" s="14">
        <v>14000</v>
      </c>
      <c r="L11" s="14">
        <v>14000</v>
      </c>
      <c r="M11" s="14">
        <v>14500</v>
      </c>
      <c r="N11" s="14">
        <v>14500</v>
      </c>
    </row>
    <row r="12" spans="1:14" x14ac:dyDescent="0.3">
      <c r="A12" s="4" t="s">
        <v>17</v>
      </c>
      <c r="B12" s="5" t="s">
        <v>27</v>
      </c>
      <c r="C12" s="13">
        <v>22000</v>
      </c>
      <c r="D12" s="13">
        <v>23000</v>
      </c>
      <c r="E12" s="13">
        <v>24000</v>
      </c>
      <c r="F12" s="13">
        <v>25000</v>
      </c>
      <c r="G12" s="13">
        <v>26000</v>
      </c>
      <c r="H12" s="13">
        <v>27000</v>
      </c>
      <c r="I12" s="13">
        <v>28000</v>
      </c>
      <c r="J12" s="13">
        <v>29000</v>
      </c>
      <c r="K12" s="13">
        <v>30000</v>
      </c>
      <c r="L12" s="13">
        <v>31000</v>
      </c>
      <c r="M12" s="13">
        <v>32000</v>
      </c>
      <c r="N12" s="13">
        <v>33000</v>
      </c>
    </row>
    <row r="13" spans="1:14" x14ac:dyDescent="0.3">
      <c r="A13" s="2" t="s">
        <v>54</v>
      </c>
      <c r="B13" s="3" t="s">
        <v>28</v>
      </c>
      <c r="C13" s="14">
        <v>55000</v>
      </c>
      <c r="D13" s="14">
        <v>60000</v>
      </c>
      <c r="E13" s="14">
        <v>48000</v>
      </c>
      <c r="F13" s="14">
        <v>52000</v>
      </c>
      <c r="G13" s="14">
        <v>58000</v>
      </c>
      <c r="H13" s="14">
        <v>61000</v>
      </c>
      <c r="I13" s="14">
        <v>45000</v>
      </c>
      <c r="J13" s="14">
        <v>50000</v>
      </c>
      <c r="K13" s="14">
        <v>54000</v>
      </c>
      <c r="L13" s="14">
        <v>57000</v>
      </c>
      <c r="M13" s="14">
        <v>62000</v>
      </c>
      <c r="N13" s="14">
        <v>65000</v>
      </c>
    </row>
    <row r="14" spans="1:14" x14ac:dyDescent="0.3">
      <c r="A14" s="4" t="s">
        <v>54</v>
      </c>
      <c r="B14" s="5" t="s">
        <v>29</v>
      </c>
      <c r="C14" s="13">
        <v>15000</v>
      </c>
      <c r="D14" s="13">
        <v>15000</v>
      </c>
      <c r="E14" s="13">
        <v>20000</v>
      </c>
      <c r="F14" s="13">
        <v>15000</v>
      </c>
      <c r="G14" s="13">
        <v>15000</v>
      </c>
      <c r="H14" s="13">
        <v>20000</v>
      </c>
      <c r="I14" s="13">
        <v>15000</v>
      </c>
      <c r="J14" s="13">
        <v>15000</v>
      </c>
      <c r="K14" s="13">
        <v>20000</v>
      </c>
      <c r="L14" s="13">
        <v>15000</v>
      </c>
      <c r="M14" s="13">
        <v>15000</v>
      </c>
      <c r="N14" s="13">
        <v>20000</v>
      </c>
    </row>
    <row r="15" spans="1:14" x14ac:dyDescent="0.3">
      <c r="A15" s="2" t="s">
        <v>18</v>
      </c>
      <c r="B15" s="3" t="s">
        <v>30</v>
      </c>
      <c r="C15" s="14">
        <v>8000</v>
      </c>
      <c r="D15" s="14">
        <v>2000</v>
      </c>
      <c r="E15" s="14">
        <v>4000</v>
      </c>
      <c r="F15" s="14">
        <v>18000</v>
      </c>
      <c r="G15" s="14">
        <v>3000</v>
      </c>
      <c r="H15" s="14">
        <v>6000</v>
      </c>
      <c r="I15" s="14">
        <v>22000</v>
      </c>
      <c r="J15" s="14">
        <v>2000</v>
      </c>
      <c r="K15" s="14">
        <v>5000</v>
      </c>
      <c r="L15" s="14">
        <v>15000</v>
      </c>
      <c r="M15" s="14">
        <v>3000</v>
      </c>
      <c r="N15" s="14">
        <v>8000</v>
      </c>
    </row>
    <row r="16" spans="1:14" x14ac:dyDescent="0.3">
      <c r="A16" s="4" t="s">
        <v>18</v>
      </c>
      <c r="B16" s="5" t="s">
        <v>31</v>
      </c>
      <c r="C16" s="13">
        <v>6000</v>
      </c>
      <c r="D16" s="13">
        <v>6500</v>
      </c>
      <c r="E16" s="13">
        <v>7000</v>
      </c>
      <c r="F16" s="13">
        <v>6000</v>
      </c>
      <c r="G16" s="13">
        <v>6500</v>
      </c>
      <c r="H16" s="13">
        <v>7000</v>
      </c>
      <c r="I16" s="13">
        <v>6000</v>
      </c>
      <c r="J16" s="13">
        <v>6500</v>
      </c>
      <c r="K16" s="13">
        <v>7000</v>
      </c>
      <c r="L16" s="13">
        <v>6000</v>
      </c>
      <c r="M16" s="13">
        <v>6500</v>
      </c>
      <c r="N16" s="13">
        <v>7000</v>
      </c>
    </row>
    <row r="17" spans="1:14" x14ac:dyDescent="0.3">
      <c r="A17" s="2" t="s">
        <v>18</v>
      </c>
      <c r="B17" s="3" t="s">
        <v>32</v>
      </c>
      <c r="C17" s="14">
        <v>14000</v>
      </c>
      <c r="D17" s="14">
        <v>5000</v>
      </c>
      <c r="E17" s="14">
        <v>8000</v>
      </c>
      <c r="F17" s="14">
        <v>11000</v>
      </c>
      <c r="G17" s="14">
        <v>6000</v>
      </c>
      <c r="H17" s="14">
        <v>9000</v>
      </c>
      <c r="I17" s="14">
        <v>13000</v>
      </c>
      <c r="J17" s="14">
        <v>7000</v>
      </c>
      <c r="K17" s="14">
        <v>10000</v>
      </c>
      <c r="L17" s="14">
        <v>12000</v>
      </c>
      <c r="M17" s="14">
        <v>8000</v>
      </c>
      <c r="N17" s="14">
        <v>16000</v>
      </c>
    </row>
    <row r="18" spans="1:14" ht="15.6" x14ac:dyDescent="0.3">
      <c r="A18" s="53" t="s">
        <v>33</v>
      </c>
      <c r="B18" s="53"/>
      <c r="C18" s="6">
        <f>SUM(C4:C17)</f>
        <v>1066000</v>
      </c>
      <c r="D18" s="6">
        <f t="shared" ref="D18:N18" si="0">SUM(D4:D17)</f>
        <v>1081000</v>
      </c>
      <c r="E18" s="6">
        <f t="shared" si="0"/>
        <v>1088500</v>
      </c>
      <c r="F18" s="6">
        <f t="shared" si="0"/>
        <v>1135000</v>
      </c>
      <c r="G18" s="6">
        <f t="shared" si="0"/>
        <v>1140500</v>
      </c>
      <c r="H18" s="6">
        <f t="shared" si="0"/>
        <v>1163500</v>
      </c>
      <c r="I18" s="6">
        <f t="shared" si="0"/>
        <v>1188500</v>
      </c>
      <c r="J18" s="6">
        <f t="shared" si="0"/>
        <v>1162500</v>
      </c>
      <c r="K18" s="6">
        <f t="shared" si="0"/>
        <v>1204000</v>
      </c>
      <c r="L18" s="6">
        <f t="shared" si="0"/>
        <v>1233500</v>
      </c>
      <c r="M18" s="6">
        <f t="shared" si="0"/>
        <v>1233000</v>
      </c>
      <c r="N18" s="6">
        <f t="shared" si="0"/>
        <v>1276000</v>
      </c>
    </row>
  </sheetData>
  <mergeCells count="3">
    <mergeCell ref="A1:N1"/>
    <mergeCell ref="A2:N2"/>
    <mergeCell ref="A18:B18"/>
  </mergeCells>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3413F-019C-4058-8368-D7C5B19992A5}">
  <sheetPr>
    <tabColor theme="2" tint="-0.249977111117893"/>
  </sheetPr>
  <dimension ref="A1:M25"/>
  <sheetViews>
    <sheetView tabSelected="1" topLeftCell="A7" workbookViewId="0">
      <selection activeCell="B30" sqref="B30"/>
    </sheetView>
  </sheetViews>
  <sheetFormatPr defaultRowHeight="14.4" x14ac:dyDescent="0.3"/>
  <cols>
    <col min="1" max="1" width="27.88671875" bestFit="1" customWidth="1"/>
    <col min="2" max="2" width="14.88671875" bestFit="1" customWidth="1"/>
    <col min="3" max="3" width="15.109375" bestFit="1" customWidth="1"/>
    <col min="4" max="4" width="15" bestFit="1" customWidth="1"/>
    <col min="5" max="5" width="14.88671875" bestFit="1" customWidth="1"/>
    <col min="6" max="6" width="15.44140625" bestFit="1" customWidth="1"/>
    <col min="7" max="7" width="15" bestFit="1" customWidth="1"/>
    <col min="8" max="8" width="14.33203125" bestFit="1" customWidth="1"/>
    <col min="9" max="9" width="15.33203125" bestFit="1" customWidth="1"/>
    <col min="10" max="10" width="15.21875" bestFit="1" customWidth="1"/>
    <col min="11" max="11" width="14.77734375" customWidth="1"/>
    <col min="12" max="12" width="15.33203125" bestFit="1" customWidth="1"/>
    <col min="13" max="13" width="15.21875" bestFit="1" customWidth="1"/>
  </cols>
  <sheetData>
    <row r="1" spans="1:13" x14ac:dyDescent="0.3">
      <c r="B1" s="59" t="s">
        <v>78</v>
      </c>
      <c r="C1" s="59"/>
      <c r="D1" s="59"/>
      <c r="E1" s="59"/>
      <c r="F1" s="59"/>
      <c r="G1" s="59"/>
      <c r="H1" s="59"/>
      <c r="I1" s="59"/>
      <c r="J1" s="59"/>
      <c r="K1" s="59"/>
    </row>
    <row r="2" spans="1:13" x14ac:dyDescent="0.3">
      <c r="B2" s="59"/>
      <c r="C2" s="59"/>
      <c r="D2" s="59"/>
      <c r="E2" s="59"/>
      <c r="F2" s="59"/>
      <c r="G2" s="59"/>
      <c r="H2" s="59"/>
      <c r="I2" s="59"/>
      <c r="J2" s="59"/>
      <c r="K2" s="59"/>
    </row>
    <row r="3" spans="1:13" x14ac:dyDescent="0.3">
      <c r="A3" s="60" t="s">
        <v>5</v>
      </c>
      <c r="B3" s="60" t="s">
        <v>65</v>
      </c>
      <c r="C3" s="60" t="s">
        <v>66</v>
      </c>
      <c r="D3" s="60" t="s">
        <v>67</v>
      </c>
      <c r="E3" s="60" t="s">
        <v>68</v>
      </c>
      <c r="F3" s="60" t="s">
        <v>69</v>
      </c>
      <c r="G3" s="60" t="s">
        <v>70</v>
      </c>
      <c r="H3" s="60" t="s">
        <v>71</v>
      </c>
      <c r="I3" s="60" t="s">
        <v>72</v>
      </c>
      <c r="J3" s="60" t="s">
        <v>73</v>
      </c>
      <c r="K3" s="60" t="s">
        <v>74</v>
      </c>
      <c r="L3" s="60" t="s">
        <v>75</v>
      </c>
      <c r="M3" s="60" t="s">
        <v>76</v>
      </c>
    </row>
    <row r="4" spans="1:13" x14ac:dyDescent="0.3">
      <c r="A4" s="61" t="s">
        <v>16</v>
      </c>
      <c r="B4" s="62">
        <v>114000</v>
      </c>
      <c r="C4" s="62">
        <v>118500</v>
      </c>
      <c r="D4" s="62">
        <v>123000</v>
      </c>
      <c r="E4" s="62">
        <v>127500</v>
      </c>
      <c r="F4" s="62">
        <v>132000</v>
      </c>
      <c r="G4" s="62">
        <v>135500</v>
      </c>
      <c r="H4" s="62">
        <v>140000</v>
      </c>
      <c r="I4" s="62">
        <v>144500</v>
      </c>
      <c r="J4" s="62">
        <v>149000</v>
      </c>
      <c r="K4" s="62">
        <v>152500</v>
      </c>
      <c r="L4" s="62">
        <v>157000</v>
      </c>
      <c r="M4" s="62">
        <v>161500</v>
      </c>
    </row>
    <row r="5" spans="1:13" x14ac:dyDescent="0.3">
      <c r="A5" s="63" t="s">
        <v>23</v>
      </c>
      <c r="B5" s="62">
        <v>68000</v>
      </c>
      <c r="C5" s="62">
        <v>71000</v>
      </c>
      <c r="D5" s="62">
        <v>74000</v>
      </c>
      <c r="E5" s="62">
        <v>77000</v>
      </c>
      <c r="F5" s="62">
        <v>80000</v>
      </c>
      <c r="G5" s="62">
        <v>82000</v>
      </c>
      <c r="H5" s="62">
        <v>85000</v>
      </c>
      <c r="I5" s="62">
        <v>88000</v>
      </c>
      <c r="J5" s="62">
        <v>91000</v>
      </c>
      <c r="K5" s="62">
        <v>93000</v>
      </c>
      <c r="L5" s="62">
        <v>96000</v>
      </c>
      <c r="M5" s="62">
        <v>99000</v>
      </c>
    </row>
    <row r="6" spans="1:13" x14ac:dyDescent="0.3">
      <c r="A6" s="63" t="s">
        <v>24</v>
      </c>
      <c r="B6" s="62">
        <v>28000</v>
      </c>
      <c r="C6" s="62">
        <v>29000</v>
      </c>
      <c r="D6" s="62">
        <v>30000</v>
      </c>
      <c r="E6" s="62">
        <v>31000</v>
      </c>
      <c r="F6" s="62">
        <v>32000</v>
      </c>
      <c r="G6" s="62">
        <v>33000</v>
      </c>
      <c r="H6" s="62">
        <v>34000</v>
      </c>
      <c r="I6" s="62">
        <v>35000</v>
      </c>
      <c r="J6" s="62">
        <v>36000</v>
      </c>
      <c r="K6" s="62">
        <v>37000</v>
      </c>
      <c r="L6" s="62">
        <v>38000</v>
      </c>
      <c r="M6" s="62">
        <v>39000</v>
      </c>
    </row>
    <row r="7" spans="1:13" x14ac:dyDescent="0.3">
      <c r="A7" s="63" t="s">
        <v>25</v>
      </c>
      <c r="B7" s="62">
        <v>18000</v>
      </c>
      <c r="C7" s="62">
        <v>18500</v>
      </c>
      <c r="D7" s="62">
        <v>19000</v>
      </c>
      <c r="E7" s="62">
        <v>19500</v>
      </c>
      <c r="F7" s="62">
        <v>20000</v>
      </c>
      <c r="G7" s="62">
        <v>20500</v>
      </c>
      <c r="H7" s="62">
        <v>21000</v>
      </c>
      <c r="I7" s="62">
        <v>21500</v>
      </c>
      <c r="J7" s="62">
        <v>22000</v>
      </c>
      <c r="K7" s="62">
        <v>22500</v>
      </c>
      <c r="L7" s="62">
        <v>23000</v>
      </c>
      <c r="M7" s="62">
        <v>23500</v>
      </c>
    </row>
    <row r="8" spans="1:13" x14ac:dyDescent="0.3">
      <c r="A8" s="61" t="s">
        <v>53</v>
      </c>
      <c r="B8" s="62">
        <v>820000</v>
      </c>
      <c r="C8" s="62">
        <v>839000</v>
      </c>
      <c r="D8" s="62">
        <v>842000</v>
      </c>
      <c r="E8" s="62">
        <v>868000</v>
      </c>
      <c r="F8" s="62">
        <v>881000</v>
      </c>
      <c r="G8" s="62">
        <v>885000</v>
      </c>
      <c r="H8" s="62">
        <v>906000</v>
      </c>
      <c r="I8" s="62">
        <v>895000</v>
      </c>
      <c r="J8" s="62">
        <v>915000</v>
      </c>
      <c r="K8" s="62">
        <v>931000</v>
      </c>
      <c r="L8" s="62">
        <v>935000</v>
      </c>
      <c r="M8" s="62">
        <v>951000</v>
      </c>
    </row>
    <row r="9" spans="1:13" x14ac:dyDescent="0.3">
      <c r="A9" s="63" t="s">
        <v>20</v>
      </c>
      <c r="B9" s="62">
        <v>185000</v>
      </c>
      <c r="C9" s="62">
        <v>188000</v>
      </c>
      <c r="D9" s="62">
        <v>191000</v>
      </c>
      <c r="E9" s="62">
        <v>195000</v>
      </c>
      <c r="F9" s="62">
        <v>198000</v>
      </c>
      <c r="G9" s="62">
        <v>201000</v>
      </c>
      <c r="H9" s="62">
        <v>205000</v>
      </c>
      <c r="I9" s="62">
        <v>202000</v>
      </c>
      <c r="J9" s="62">
        <v>208000</v>
      </c>
      <c r="K9" s="62">
        <v>211000</v>
      </c>
      <c r="L9" s="62">
        <v>214000</v>
      </c>
      <c r="M9" s="62">
        <v>218000</v>
      </c>
    </row>
    <row r="10" spans="1:13" x14ac:dyDescent="0.3">
      <c r="A10" s="63" t="s">
        <v>21</v>
      </c>
      <c r="B10" s="62">
        <v>120000</v>
      </c>
      <c r="C10" s="62">
        <v>122000</v>
      </c>
      <c r="D10" s="62">
        <v>124000</v>
      </c>
      <c r="E10" s="62">
        <v>127000</v>
      </c>
      <c r="F10" s="62">
        <v>129000</v>
      </c>
      <c r="G10" s="62">
        <v>131000</v>
      </c>
      <c r="H10" s="62">
        <v>134000</v>
      </c>
      <c r="I10" s="62">
        <v>132000</v>
      </c>
      <c r="J10" s="62">
        <v>135000</v>
      </c>
      <c r="K10" s="62">
        <v>138000</v>
      </c>
      <c r="L10" s="62">
        <v>140000</v>
      </c>
      <c r="M10" s="62">
        <v>143000</v>
      </c>
    </row>
    <row r="11" spans="1:13" x14ac:dyDescent="0.3">
      <c r="A11" s="63" t="s">
        <v>22</v>
      </c>
      <c r="B11" s="62">
        <v>95000</v>
      </c>
      <c r="C11" s="62">
        <v>97000</v>
      </c>
      <c r="D11" s="62">
        <v>99000</v>
      </c>
      <c r="E11" s="62">
        <v>101000</v>
      </c>
      <c r="F11" s="62">
        <v>103000</v>
      </c>
      <c r="G11" s="62">
        <v>105000</v>
      </c>
      <c r="H11" s="62">
        <v>107000</v>
      </c>
      <c r="I11" s="62">
        <v>106000</v>
      </c>
      <c r="J11" s="62">
        <v>109000</v>
      </c>
      <c r="K11" s="62">
        <v>111000</v>
      </c>
      <c r="L11" s="62">
        <v>113000</v>
      </c>
      <c r="M11" s="62">
        <v>115000</v>
      </c>
    </row>
    <row r="12" spans="1:13" x14ac:dyDescent="0.3">
      <c r="A12" s="63" t="s">
        <v>19</v>
      </c>
      <c r="B12" s="62">
        <v>420000</v>
      </c>
      <c r="C12" s="62">
        <v>432000</v>
      </c>
      <c r="D12" s="62">
        <v>428000</v>
      </c>
      <c r="E12" s="62">
        <v>445000</v>
      </c>
      <c r="F12" s="62">
        <v>451000</v>
      </c>
      <c r="G12" s="62">
        <v>448000</v>
      </c>
      <c r="H12" s="62">
        <v>460000</v>
      </c>
      <c r="I12" s="62">
        <v>455000</v>
      </c>
      <c r="J12" s="62">
        <v>463000</v>
      </c>
      <c r="K12" s="62">
        <v>471000</v>
      </c>
      <c r="L12" s="62">
        <v>468000</v>
      </c>
      <c r="M12" s="62">
        <v>475000</v>
      </c>
    </row>
    <row r="13" spans="1:13" x14ac:dyDescent="0.3">
      <c r="A13" s="61" t="s">
        <v>54</v>
      </c>
      <c r="B13" s="62">
        <v>70000</v>
      </c>
      <c r="C13" s="62">
        <v>75000</v>
      </c>
      <c r="D13" s="62">
        <v>68000</v>
      </c>
      <c r="E13" s="62">
        <v>67000</v>
      </c>
      <c r="F13" s="62">
        <v>73000</v>
      </c>
      <c r="G13" s="62">
        <v>81000</v>
      </c>
      <c r="H13" s="62">
        <v>60000</v>
      </c>
      <c r="I13" s="62">
        <v>65000</v>
      </c>
      <c r="J13" s="62">
        <v>74000</v>
      </c>
      <c r="K13" s="62">
        <v>72000</v>
      </c>
      <c r="L13" s="62">
        <v>77000</v>
      </c>
      <c r="M13" s="62">
        <v>85000</v>
      </c>
    </row>
    <row r="14" spans="1:13" x14ac:dyDescent="0.3">
      <c r="A14" s="63" t="s">
        <v>28</v>
      </c>
      <c r="B14" s="62">
        <v>55000</v>
      </c>
      <c r="C14" s="62">
        <v>60000</v>
      </c>
      <c r="D14" s="62">
        <v>48000</v>
      </c>
      <c r="E14" s="62">
        <v>52000</v>
      </c>
      <c r="F14" s="62">
        <v>58000</v>
      </c>
      <c r="G14" s="62">
        <v>61000</v>
      </c>
      <c r="H14" s="62">
        <v>45000</v>
      </c>
      <c r="I14" s="62">
        <v>50000</v>
      </c>
      <c r="J14" s="62">
        <v>54000</v>
      </c>
      <c r="K14" s="62">
        <v>57000</v>
      </c>
      <c r="L14" s="62">
        <v>62000</v>
      </c>
      <c r="M14" s="62">
        <v>65000</v>
      </c>
    </row>
    <row r="15" spans="1:13" x14ac:dyDescent="0.3">
      <c r="A15" s="63" t="s">
        <v>29</v>
      </c>
      <c r="B15" s="62">
        <v>15000</v>
      </c>
      <c r="C15" s="62">
        <v>15000</v>
      </c>
      <c r="D15" s="62">
        <v>20000</v>
      </c>
      <c r="E15" s="62">
        <v>15000</v>
      </c>
      <c r="F15" s="62">
        <v>15000</v>
      </c>
      <c r="G15" s="62">
        <v>20000</v>
      </c>
      <c r="H15" s="62">
        <v>15000</v>
      </c>
      <c r="I15" s="62">
        <v>15000</v>
      </c>
      <c r="J15" s="62">
        <v>20000</v>
      </c>
      <c r="K15" s="62">
        <v>15000</v>
      </c>
      <c r="L15" s="62">
        <v>15000</v>
      </c>
      <c r="M15" s="62">
        <v>20000</v>
      </c>
    </row>
    <row r="16" spans="1:13" x14ac:dyDescent="0.3">
      <c r="A16" s="61" t="s">
        <v>18</v>
      </c>
      <c r="B16" s="62">
        <v>28000</v>
      </c>
      <c r="C16" s="62">
        <v>13500</v>
      </c>
      <c r="D16" s="62">
        <v>19000</v>
      </c>
      <c r="E16" s="62">
        <v>35000</v>
      </c>
      <c r="F16" s="62">
        <v>15500</v>
      </c>
      <c r="G16" s="62">
        <v>22000</v>
      </c>
      <c r="H16" s="62">
        <v>41000</v>
      </c>
      <c r="I16" s="62">
        <v>15500</v>
      </c>
      <c r="J16" s="62">
        <v>22000</v>
      </c>
      <c r="K16" s="62">
        <v>33000</v>
      </c>
      <c r="L16" s="62">
        <v>17500</v>
      </c>
      <c r="M16" s="62">
        <v>31000</v>
      </c>
    </row>
    <row r="17" spans="1:13" x14ac:dyDescent="0.3">
      <c r="A17" s="63" t="s">
        <v>32</v>
      </c>
      <c r="B17" s="62">
        <v>14000</v>
      </c>
      <c r="C17" s="62">
        <v>5000</v>
      </c>
      <c r="D17" s="62">
        <v>8000</v>
      </c>
      <c r="E17" s="62">
        <v>11000</v>
      </c>
      <c r="F17" s="62">
        <v>6000</v>
      </c>
      <c r="G17" s="62">
        <v>9000</v>
      </c>
      <c r="H17" s="62">
        <v>13000</v>
      </c>
      <c r="I17" s="62">
        <v>7000</v>
      </c>
      <c r="J17" s="62">
        <v>10000</v>
      </c>
      <c r="K17" s="62">
        <v>12000</v>
      </c>
      <c r="L17" s="62">
        <v>8000</v>
      </c>
      <c r="M17" s="62">
        <v>16000</v>
      </c>
    </row>
    <row r="18" spans="1:13" x14ac:dyDescent="0.3">
      <c r="A18" s="63" t="s">
        <v>31</v>
      </c>
      <c r="B18" s="62">
        <v>6000</v>
      </c>
      <c r="C18" s="62">
        <v>6500</v>
      </c>
      <c r="D18" s="62">
        <v>7000</v>
      </c>
      <c r="E18" s="62">
        <v>6000</v>
      </c>
      <c r="F18" s="62">
        <v>6500</v>
      </c>
      <c r="G18" s="62">
        <v>7000</v>
      </c>
      <c r="H18" s="62">
        <v>6000</v>
      </c>
      <c r="I18" s="62">
        <v>6500</v>
      </c>
      <c r="J18" s="62">
        <v>7000</v>
      </c>
      <c r="K18" s="62">
        <v>6000</v>
      </c>
      <c r="L18" s="62">
        <v>6500</v>
      </c>
      <c r="M18" s="62">
        <v>7000</v>
      </c>
    </row>
    <row r="19" spans="1:13" x14ac:dyDescent="0.3">
      <c r="A19" s="63" t="s">
        <v>30</v>
      </c>
      <c r="B19" s="62">
        <v>8000</v>
      </c>
      <c r="C19" s="62">
        <v>2000</v>
      </c>
      <c r="D19" s="62">
        <v>4000</v>
      </c>
      <c r="E19" s="62">
        <v>18000</v>
      </c>
      <c r="F19" s="62">
        <v>3000</v>
      </c>
      <c r="G19" s="62">
        <v>6000</v>
      </c>
      <c r="H19" s="62">
        <v>22000</v>
      </c>
      <c r="I19" s="62">
        <v>2000</v>
      </c>
      <c r="J19" s="62">
        <v>5000</v>
      </c>
      <c r="K19" s="62">
        <v>15000</v>
      </c>
      <c r="L19" s="62">
        <v>3000</v>
      </c>
      <c r="M19" s="62">
        <v>8000</v>
      </c>
    </row>
    <row r="20" spans="1:13" x14ac:dyDescent="0.3">
      <c r="A20" s="61" t="s">
        <v>17</v>
      </c>
      <c r="B20" s="62">
        <v>34000</v>
      </c>
      <c r="C20" s="62">
        <v>35000</v>
      </c>
      <c r="D20" s="62">
        <v>36500</v>
      </c>
      <c r="E20" s="62">
        <v>37500</v>
      </c>
      <c r="F20" s="62">
        <v>39000</v>
      </c>
      <c r="G20" s="62">
        <v>40000</v>
      </c>
      <c r="H20" s="62">
        <v>41500</v>
      </c>
      <c r="I20" s="62">
        <v>42500</v>
      </c>
      <c r="J20" s="62">
        <v>44000</v>
      </c>
      <c r="K20" s="62">
        <v>45000</v>
      </c>
      <c r="L20" s="62">
        <v>46500</v>
      </c>
      <c r="M20" s="62">
        <v>47500</v>
      </c>
    </row>
    <row r="21" spans="1:13" x14ac:dyDescent="0.3">
      <c r="A21" s="63" t="s">
        <v>27</v>
      </c>
      <c r="B21" s="62">
        <v>22000</v>
      </c>
      <c r="C21" s="62">
        <v>23000</v>
      </c>
      <c r="D21" s="62">
        <v>24000</v>
      </c>
      <c r="E21" s="62">
        <v>25000</v>
      </c>
      <c r="F21" s="62">
        <v>26000</v>
      </c>
      <c r="G21" s="62">
        <v>27000</v>
      </c>
      <c r="H21" s="62">
        <v>28000</v>
      </c>
      <c r="I21" s="62">
        <v>29000</v>
      </c>
      <c r="J21" s="62">
        <v>30000</v>
      </c>
      <c r="K21" s="62">
        <v>31000</v>
      </c>
      <c r="L21" s="62">
        <v>32000</v>
      </c>
      <c r="M21" s="62">
        <v>33000</v>
      </c>
    </row>
    <row r="22" spans="1:13" x14ac:dyDescent="0.3">
      <c r="A22" s="63" t="s">
        <v>26</v>
      </c>
      <c r="B22" s="62">
        <v>12000</v>
      </c>
      <c r="C22" s="62">
        <v>12000</v>
      </c>
      <c r="D22" s="62">
        <v>12500</v>
      </c>
      <c r="E22" s="62">
        <v>12500</v>
      </c>
      <c r="F22" s="62">
        <v>13000</v>
      </c>
      <c r="G22" s="62">
        <v>13000</v>
      </c>
      <c r="H22" s="62">
        <v>13500</v>
      </c>
      <c r="I22" s="62">
        <v>13500</v>
      </c>
      <c r="J22" s="62">
        <v>14000</v>
      </c>
      <c r="K22" s="62">
        <v>14000</v>
      </c>
      <c r="L22" s="62">
        <v>14500</v>
      </c>
      <c r="M22" s="62">
        <v>14500</v>
      </c>
    </row>
    <row r="23" spans="1:13" x14ac:dyDescent="0.3">
      <c r="A23" s="61" t="s">
        <v>33</v>
      </c>
      <c r="B23" s="62">
        <v>1066000</v>
      </c>
      <c r="C23" s="62">
        <v>1081000</v>
      </c>
      <c r="D23" s="62">
        <v>1088500</v>
      </c>
      <c r="E23" s="62">
        <v>1135000</v>
      </c>
      <c r="F23" s="62">
        <v>1140500</v>
      </c>
      <c r="G23" s="62">
        <v>1163500</v>
      </c>
      <c r="H23" s="62">
        <v>1188500</v>
      </c>
      <c r="I23" s="62">
        <v>1162500</v>
      </c>
      <c r="J23" s="62">
        <v>1204000</v>
      </c>
      <c r="K23" s="62">
        <v>1233500</v>
      </c>
      <c r="L23" s="62">
        <v>1233000</v>
      </c>
      <c r="M23" s="62">
        <v>1276000</v>
      </c>
    </row>
    <row r="24" spans="1:13" x14ac:dyDescent="0.3">
      <c r="A24" s="63" t="s">
        <v>77</v>
      </c>
      <c r="B24" s="62">
        <v>1066000</v>
      </c>
      <c r="C24" s="62">
        <v>1081000</v>
      </c>
      <c r="D24" s="62">
        <v>1088500</v>
      </c>
      <c r="E24" s="62">
        <v>1135000</v>
      </c>
      <c r="F24" s="62">
        <v>1140500</v>
      </c>
      <c r="G24" s="62">
        <v>1163500</v>
      </c>
      <c r="H24" s="62">
        <v>1188500</v>
      </c>
      <c r="I24" s="62">
        <v>1162500</v>
      </c>
      <c r="J24" s="62">
        <v>1204000</v>
      </c>
      <c r="K24" s="62">
        <v>1233500</v>
      </c>
      <c r="L24" s="62">
        <v>1233000</v>
      </c>
      <c r="M24" s="62">
        <v>1276000</v>
      </c>
    </row>
    <row r="25" spans="1:13" x14ac:dyDescent="0.3">
      <c r="A25" s="64" t="s">
        <v>64</v>
      </c>
      <c r="B25" s="65">
        <v>2132000</v>
      </c>
      <c r="C25" s="65">
        <v>2162000</v>
      </c>
      <c r="D25" s="65">
        <v>2177000</v>
      </c>
      <c r="E25" s="65">
        <v>2270000</v>
      </c>
      <c r="F25" s="65">
        <v>2281000</v>
      </c>
      <c r="G25" s="65">
        <v>2327000</v>
      </c>
      <c r="H25" s="65">
        <v>2377000</v>
      </c>
      <c r="I25" s="65">
        <v>2325000</v>
      </c>
      <c r="J25" s="65">
        <v>2408000</v>
      </c>
      <c r="K25" s="65">
        <v>2467000</v>
      </c>
      <c r="L25" s="65">
        <v>2466000</v>
      </c>
      <c r="M25" s="65">
        <v>2552000</v>
      </c>
    </row>
  </sheetData>
  <mergeCells count="1">
    <mergeCell ref="B1:K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68689-60B5-4EC1-BA33-DDEB60AFF239}">
  <sheetPr>
    <tabColor theme="5" tint="-0.249977111117893"/>
  </sheetPr>
  <dimension ref="A1:O18"/>
  <sheetViews>
    <sheetView topLeftCell="A4" workbookViewId="0">
      <selection activeCell="A15" sqref="A15"/>
    </sheetView>
  </sheetViews>
  <sheetFormatPr defaultRowHeight="14.4" x14ac:dyDescent="0.3"/>
  <cols>
    <col min="1" max="1" width="23.77734375" customWidth="1"/>
    <col min="2" max="2" width="22.77734375" customWidth="1"/>
    <col min="3" max="15" width="11.77734375" customWidth="1"/>
  </cols>
  <sheetData>
    <row r="1" spans="1:15" ht="25.2" customHeight="1" x14ac:dyDescent="0.3">
      <c r="A1" s="55" t="s">
        <v>35</v>
      </c>
      <c r="B1" s="55"/>
      <c r="C1" s="55"/>
      <c r="D1" s="55"/>
      <c r="E1" s="55"/>
      <c r="F1" s="55"/>
      <c r="G1" s="55"/>
      <c r="H1" s="55"/>
      <c r="I1" s="55"/>
      <c r="J1" s="55"/>
      <c r="K1" s="55"/>
      <c r="L1" s="55"/>
      <c r="M1" s="55"/>
      <c r="N1" s="55"/>
      <c r="O1" s="55"/>
    </row>
    <row r="2" spans="1:15" ht="22.2" customHeight="1" x14ac:dyDescent="0.3">
      <c r="A2" s="52" t="s">
        <v>37</v>
      </c>
      <c r="B2" s="52"/>
      <c r="C2" s="52"/>
      <c r="D2" s="52"/>
      <c r="E2" s="52"/>
      <c r="F2" s="52"/>
      <c r="G2" s="52"/>
      <c r="H2" s="52"/>
      <c r="I2" s="52"/>
      <c r="J2" s="52"/>
      <c r="K2" s="52"/>
      <c r="L2" s="52"/>
      <c r="M2" s="52"/>
      <c r="N2" s="52"/>
      <c r="O2" s="52"/>
    </row>
    <row r="3" spans="1:15" ht="26.4" x14ac:dyDescent="0.3">
      <c r="A3" s="7" t="s">
        <v>5</v>
      </c>
      <c r="B3" s="7" t="s">
        <v>2</v>
      </c>
      <c r="C3" s="7" t="s">
        <v>3</v>
      </c>
      <c r="D3" s="7" t="s">
        <v>6</v>
      </c>
      <c r="E3" s="7" t="s">
        <v>7</v>
      </c>
      <c r="F3" s="7" t="s">
        <v>4</v>
      </c>
      <c r="G3" s="7" t="s">
        <v>8</v>
      </c>
      <c r="H3" s="7" t="s">
        <v>9</v>
      </c>
      <c r="I3" s="7" t="s">
        <v>10</v>
      </c>
      <c r="J3" s="7" t="s">
        <v>11</v>
      </c>
      <c r="K3" s="7" t="s">
        <v>12</v>
      </c>
      <c r="L3" s="7" t="s">
        <v>13</v>
      </c>
      <c r="M3" s="7" t="s">
        <v>14</v>
      </c>
      <c r="N3" s="7" t="s">
        <v>15</v>
      </c>
      <c r="O3" s="7" t="s">
        <v>36</v>
      </c>
    </row>
    <row r="4" spans="1:15" x14ac:dyDescent="0.3">
      <c r="A4" s="9" t="s">
        <v>53</v>
      </c>
      <c r="B4" s="10" t="s">
        <v>19</v>
      </c>
      <c r="C4" s="15">
        <v>415000</v>
      </c>
      <c r="D4" s="15">
        <v>415000</v>
      </c>
      <c r="E4" s="15">
        <v>425000</v>
      </c>
      <c r="F4" s="15">
        <v>440000</v>
      </c>
      <c r="G4" s="15">
        <v>440000</v>
      </c>
      <c r="H4" s="15">
        <v>450000</v>
      </c>
      <c r="I4" s="15">
        <v>455000</v>
      </c>
      <c r="J4" s="15">
        <v>455000</v>
      </c>
      <c r="K4" s="15">
        <v>460000</v>
      </c>
      <c r="L4" s="15">
        <v>465000</v>
      </c>
      <c r="M4" s="15">
        <v>465000</v>
      </c>
      <c r="N4" s="15">
        <v>470000</v>
      </c>
      <c r="O4" s="11">
        <f>SUM(C4:N4)</f>
        <v>5355000</v>
      </c>
    </row>
    <row r="5" spans="1:15" x14ac:dyDescent="0.3">
      <c r="A5" s="9" t="s">
        <v>53</v>
      </c>
      <c r="B5" s="3" t="s">
        <v>20</v>
      </c>
      <c r="C5" s="14">
        <v>183000</v>
      </c>
      <c r="D5" s="14">
        <v>183000</v>
      </c>
      <c r="E5" s="14">
        <v>190000</v>
      </c>
      <c r="F5" s="14">
        <v>193000</v>
      </c>
      <c r="G5" s="14">
        <v>193000</v>
      </c>
      <c r="H5" s="14">
        <v>200000</v>
      </c>
      <c r="I5" s="14">
        <v>203000</v>
      </c>
      <c r="J5" s="14">
        <v>203000</v>
      </c>
      <c r="K5" s="14">
        <v>207000</v>
      </c>
      <c r="L5" s="14">
        <v>210000</v>
      </c>
      <c r="M5" s="14">
        <v>210000</v>
      </c>
      <c r="N5" s="14">
        <v>215000</v>
      </c>
      <c r="O5" s="8">
        <f t="shared" ref="O5:O17" si="0">SUM(C5:N5)</f>
        <v>2390000</v>
      </c>
    </row>
    <row r="6" spans="1:15" x14ac:dyDescent="0.3">
      <c r="A6" s="9" t="s">
        <v>53</v>
      </c>
      <c r="B6" s="10" t="s">
        <v>21</v>
      </c>
      <c r="C6" s="15">
        <v>118000</v>
      </c>
      <c r="D6" s="15">
        <v>118000</v>
      </c>
      <c r="E6" s="15">
        <v>122000</v>
      </c>
      <c r="F6" s="15">
        <v>125000</v>
      </c>
      <c r="G6" s="15">
        <v>125000</v>
      </c>
      <c r="H6" s="15">
        <v>130000</v>
      </c>
      <c r="I6" s="15">
        <v>132000</v>
      </c>
      <c r="J6" s="15">
        <v>132000</v>
      </c>
      <c r="K6" s="15">
        <v>135000</v>
      </c>
      <c r="L6" s="15">
        <v>137000</v>
      </c>
      <c r="M6" s="15">
        <v>137000</v>
      </c>
      <c r="N6" s="15">
        <v>140000</v>
      </c>
      <c r="O6" s="11">
        <f t="shared" si="0"/>
        <v>1551000</v>
      </c>
    </row>
    <row r="7" spans="1:15" x14ac:dyDescent="0.3">
      <c r="A7" s="9" t="s">
        <v>53</v>
      </c>
      <c r="B7" s="3" t="s">
        <v>22</v>
      </c>
      <c r="C7" s="14">
        <v>93000</v>
      </c>
      <c r="D7" s="14">
        <v>93000</v>
      </c>
      <c r="E7" s="14">
        <v>97000</v>
      </c>
      <c r="F7" s="14">
        <v>100000</v>
      </c>
      <c r="G7" s="14">
        <v>100000</v>
      </c>
      <c r="H7" s="14">
        <v>104000</v>
      </c>
      <c r="I7" s="14">
        <v>106000</v>
      </c>
      <c r="J7" s="14">
        <v>106000</v>
      </c>
      <c r="K7" s="14">
        <v>108000</v>
      </c>
      <c r="L7" s="14">
        <v>110000</v>
      </c>
      <c r="M7" s="14">
        <v>110000</v>
      </c>
      <c r="N7" s="14">
        <v>113000</v>
      </c>
      <c r="O7" s="8">
        <f t="shared" si="0"/>
        <v>1240000</v>
      </c>
    </row>
    <row r="8" spans="1:15" x14ac:dyDescent="0.3">
      <c r="A8" s="9" t="s">
        <v>16</v>
      </c>
      <c r="B8" s="10" t="s">
        <v>23</v>
      </c>
      <c r="C8" s="15">
        <v>65000</v>
      </c>
      <c r="D8" s="15">
        <v>68000</v>
      </c>
      <c r="E8" s="15">
        <v>71000</v>
      </c>
      <c r="F8" s="15">
        <v>74000</v>
      </c>
      <c r="G8" s="15">
        <v>77000</v>
      </c>
      <c r="H8" s="15">
        <v>80000</v>
      </c>
      <c r="I8" s="15">
        <v>83000</v>
      </c>
      <c r="J8" s="15">
        <v>86000</v>
      </c>
      <c r="K8" s="15">
        <v>89000</v>
      </c>
      <c r="L8" s="15">
        <v>92000</v>
      </c>
      <c r="M8" s="15">
        <v>95000</v>
      </c>
      <c r="N8" s="15">
        <v>98000</v>
      </c>
      <c r="O8" s="11">
        <f t="shared" si="0"/>
        <v>978000</v>
      </c>
    </row>
    <row r="9" spans="1:15" x14ac:dyDescent="0.3">
      <c r="A9" s="2" t="s">
        <v>16</v>
      </c>
      <c r="B9" s="3" t="s">
        <v>24</v>
      </c>
      <c r="C9" s="14">
        <v>27000</v>
      </c>
      <c r="D9" s="14">
        <v>28000</v>
      </c>
      <c r="E9" s="14">
        <v>29000</v>
      </c>
      <c r="F9" s="14">
        <v>30000</v>
      </c>
      <c r="G9" s="14">
        <v>31000</v>
      </c>
      <c r="H9" s="14">
        <v>32000</v>
      </c>
      <c r="I9" s="14">
        <v>33000</v>
      </c>
      <c r="J9" s="14">
        <v>34000</v>
      </c>
      <c r="K9" s="14">
        <v>35000</v>
      </c>
      <c r="L9" s="14">
        <v>36000</v>
      </c>
      <c r="M9" s="14">
        <v>37000</v>
      </c>
      <c r="N9" s="14">
        <v>38000</v>
      </c>
      <c r="O9" s="8">
        <f t="shared" si="0"/>
        <v>390000</v>
      </c>
    </row>
    <row r="10" spans="1:15" x14ac:dyDescent="0.3">
      <c r="A10" s="9" t="s">
        <v>16</v>
      </c>
      <c r="B10" s="10" t="s">
        <v>25</v>
      </c>
      <c r="C10" s="15">
        <v>17500</v>
      </c>
      <c r="D10" s="15">
        <v>18000</v>
      </c>
      <c r="E10" s="15">
        <v>18500</v>
      </c>
      <c r="F10" s="15">
        <v>19000</v>
      </c>
      <c r="G10" s="15">
        <v>19500</v>
      </c>
      <c r="H10" s="15">
        <v>20000</v>
      </c>
      <c r="I10" s="15">
        <v>20500</v>
      </c>
      <c r="J10" s="15">
        <v>21000</v>
      </c>
      <c r="K10" s="15">
        <v>21500</v>
      </c>
      <c r="L10" s="15">
        <v>22000</v>
      </c>
      <c r="M10" s="15">
        <v>22500</v>
      </c>
      <c r="N10" s="15">
        <v>23000</v>
      </c>
      <c r="O10" s="11">
        <f t="shared" si="0"/>
        <v>243000</v>
      </c>
    </row>
    <row r="11" spans="1:15" x14ac:dyDescent="0.3">
      <c r="A11" s="2" t="s">
        <v>17</v>
      </c>
      <c r="B11" s="3" t="s">
        <v>26</v>
      </c>
      <c r="C11" s="14">
        <v>12000</v>
      </c>
      <c r="D11" s="14">
        <v>12000</v>
      </c>
      <c r="E11" s="14">
        <v>12000</v>
      </c>
      <c r="F11" s="14">
        <v>12500</v>
      </c>
      <c r="G11" s="14">
        <v>12500</v>
      </c>
      <c r="H11" s="14">
        <v>13000</v>
      </c>
      <c r="I11" s="14">
        <v>13000</v>
      </c>
      <c r="J11" s="14">
        <v>13500</v>
      </c>
      <c r="K11" s="14">
        <v>13500</v>
      </c>
      <c r="L11" s="14">
        <v>14000</v>
      </c>
      <c r="M11" s="14">
        <v>14000</v>
      </c>
      <c r="N11" s="14">
        <v>14500</v>
      </c>
      <c r="O11" s="8">
        <f t="shared" si="0"/>
        <v>156500</v>
      </c>
    </row>
    <row r="12" spans="1:15" x14ac:dyDescent="0.3">
      <c r="A12" s="9" t="s">
        <v>17</v>
      </c>
      <c r="B12" s="10" t="s">
        <v>27</v>
      </c>
      <c r="C12" s="15">
        <v>21000</v>
      </c>
      <c r="D12" s="15">
        <v>22000</v>
      </c>
      <c r="E12" s="15">
        <v>23000</v>
      </c>
      <c r="F12" s="15">
        <v>24000</v>
      </c>
      <c r="G12" s="15">
        <v>25000</v>
      </c>
      <c r="H12" s="15">
        <v>26000</v>
      </c>
      <c r="I12" s="15">
        <v>27000</v>
      </c>
      <c r="J12" s="15">
        <v>28000</v>
      </c>
      <c r="K12" s="15">
        <v>29000</v>
      </c>
      <c r="L12" s="15">
        <v>30000</v>
      </c>
      <c r="M12" s="15">
        <v>31000</v>
      </c>
      <c r="N12" s="15">
        <v>32000</v>
      </c>
      <c r="O12" s="11">
        <f t="shared" si="0"/>
        <v>318000</v>
      </c>
    </row>
    <row r="13" spans="1:15" x14ac:dyDescent="0.3">
      <c r="A13" s="2" t="s">
        <v>54</v>
      </c>
      <c r="B13" s="3" t="s">
        <v>28</v>
      </c>
      <c r="C13" s="14">
        <v>50000</v>
      </c>
      <c r="D13" s="14">
        <v>50000</v>
      </c>
      <c r="E13" s="14">
        <v>50000</v>
      </c>
      <c r="F13" s="14">
        <v>50000</v>
      </c>
      <c r="G13" s="14">
        <v>55000</v>
      </c>
      <c r="H13" s="14">
        <v>55000</v>
      </c>
      <c r="I13" s="14">
        <v>50000</v>
      </c>
      <c r="J13" s="14">
        <v>50000</v>
      </c>
      <c r="K13" s="14">
        <v>55000</v>
      </c>
      <c r="L13" s="14">
        <v>55000</v>
      </c>
      <c r="M13" s="14">
        <v>60000</v>
      </c>
      <c r="N13" s="14">
        <v>60000</v>
      </c>
      <c r="O13" s="8">
        <f t="shared" si="0"/>
        <v>640000</v>
      </c>
    </row>
    <row r="14" spans="1:15" x14ac:dyDescent="0.3">
      <c r="A14" s="9" t="s">
        <v>54</v>
      </c>
      <c r="B14" s="10" t="s">
        <v>29</v>
      </c>
      <c r="C14" s="15">
        <v>15000</v>
      </c>
      <c r="D14" s="15">
        <v>15000</v>
      </c>
      <c r="E14" s="15">
        <v>15000</v>
      </c>
      <c r="F14" s="15">
        <v>15000</v>
      </c>
      <c r="G14" s="15">
        <v>15000</v>
      </c>
      <c r="H14" s="15">
        <v>15000</v>
      </c>
      <c r="I14" s="15">
        <v>15000</v>
      </c>
      <c r="J14" s="15">
        <v>15000</v>
      </c>
      <c r="K14" s="15">
        <v>15000</v>
      </c>
      <c r="L14" s="15">
        <v>15000</v>
      </c>
      <c r="M14" s="15">
        <v>15000</v>
      </c>
      <c r="N14" s="15">
        <v>15000</v>
      </c>
      <c r="O14" s="11">
        <f t="shared" si="0"/>
        <v>180000</v>
      </c>
    </row>
    <row r="15" spans="1:15" x14ac:dyDescent="0.3">
      <c r="A15" s="2" t="s">
        <v>18</v>
      </c>
      <c r="B15" s="3" t="s">
        <v>30</v>
      </c>
      <c r="C15" s="14">
        <v>5000</v>
      </c>
      <c r="D15" s="14">
        <v>5000</v>
      </c>
      <c r="E15" s="14">
        <v>5000</v>
      </c>
      <c r="F15" s="14">
        <v>15000</v>
      </c>
      <c r="G15" s="14">
        <v>5000</v>
      </c>
      <c r="H15" s="14">
        <v>5000</v>
      </c>
      <c r="I15" s="14">
        <v>20000</v>
      </c>
      <c r="J15" s="14">
        <v>5000</v>
      </c>
      <c r="K15" s="14">
        <v>5000</v>
      </c>
      <c r="L15" s="14">
        <v>12000</v>
      </c>
      <c r="M15" s="14">
        <v>5000</v>
      </c>
      <c r="N15" s="14">
        <v>8000</v>
      </c>
      <c r="O15" s="8">
        <f t="shared" si="0"/>
        <v>95000</v>
      </c>
    </row>
    <row r="16" spans="1:15" x14ac:dyDescent="0.3">
      <c r="A16" s="9" t="s">
        <v>18</v>
      </c>
      <c r="B16" s="10" t="s">
        <v>31</v>
      </c>
      <c r="C16" s="15">
        <v>6000</v>
      </c>
      <c r="D16" s="15">
        <v>6000</v>
      </c>
      <c r="E16" s="15">
        <v>6000</v>
      </c>
      <c r="F16" s="15">
        <v>6000</v>
      </c>
      <c r="G16" s="15">
        <v>6000</v>
      </c>
      <c r="H16" s="15">
        <v>6000</v>
      </c>
      <c r="I16" s="15">
        <v>6000</v>
      </c>
      <c r="J16" s="15">
        <v>6000</v>
      </c>
      <c r="K16" s="15">
        <v>6000</v>
      </c>
      <c r="L16" s="15">
        <v>6000</v>
      </c>
      <c r="M16" s="15">
        <v>6000</v>
      </c>
      <c r="N16" s="15">
        <v>6000</v>
      </c>
      <c r="O16" s="11">
        <f t="shared" si="0"/>
        <v>72000</v>
      </c>
    </row>
    <row r="17" spans="1:15" x14ac:dyDescent="0.3">
      <c r="A17" s="2" t="s">
        <v>18</v>
      </c>
      <c r="B17" s="3" t="s">
        <v>32</v>
      </c>
      <c r="C17" s="14">
        <v>10000</v>
      </c>
      <c r="D17" s="14">
        <v>5000</v>
      </c>
      <c r="E17" s="14">
        <v>8000</v>
      </c>
      <c r="F17" s="14">
        <v>10000</v>
      </c>
      <c r="G17" s="14">
        <v>5000</v>
      </c>
      <c r="H17" s="14">
        <v>8000</v>
      </c>
      <c r="I17" s="14">
        <v>10000</v>
      </c>
      <c r="J17" s="14">
        <v>5000</v>
      </c>
      <c r="K17" s="14">
        <v>8000</v>
      </c>
      <c r="L17" s="14">
        <v>10000</v>
      </c>
      <c r="M17" s="14">
        <v>5000</v>
      </c>
      <c r="N17" s="14">
        <v>10000</v>
      </c>
      <c r="O17" s="8">
        <f t="shared" si="0"/>
        <v>94000</v>
      </c>
    </row>
    <row r="18" spans="1:15" ht="15.6" x14ac:dyDescent="0.3">
      <c r="A18" s="54" t="s">
        <v>34</v>
      </c>
      <c r="B18" s="54"/>
      <c r="C18" s="27">
        <f>SUM(C4:C17)</f>
        <v>1037500</v>
      </c>
      <c r="D18" s="27">
        <f t="shared" ref="D18:N18" si="1">SUM(D4:D17)</f>
        <v>1038000</v>
      </c>
      <c r="E18" s="27">
        <f t="shared" si="1"/>
        <v>1071500</v>
      </c>
      <c r="F18" s="27">
        <f t="shared" si="1"/>
        <v>1113500</v>
      </c>
      <c r="G18" s="27">
        <f t="shared" si="1"/>
        <v>1109000</v>
      </c>
      <c r="H18" s="27">
        <f t="shared" si="1"/>
        <v>1144000</v>
      </c>
      <c r="I18" s="27">
        <f t="shared" si="1"/>
        <v>1173500</v>
      </c>
      <c r="J18" s="27">
        <f t="shared" si="1"/>
        <v>1159500</v>
      </c>
      <c r="K18" s="27">
        <f t="shared" si="1"/>
        <v>1187000</v>
      </c>
      <c r="L18" s="27">
        <f t="shared" si="1"/>
        <v>1214000</v>
      </c>
      <c r="M18" s="27">
        <f t="shared" si="1"/>
        <v>1212500</v>
      </c>
      <c r="N18" s="27">
        <f t="shared" si="1"/>
        <v>1242500</v>
      </c>
      <c r="O18" s="28">
        <f>SUM(O4:O17)</f>
        <v>13702500</v>
      </c>
    </row>
  </sheetData>
  <mergeCells count="3">
    <mergeCell ref="A18:B18"/>
    <mergeCell ref="A1:O1"/>
    <mergeCell ref="A2:O2"/>
  </mergeCells>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8E7A3-69AD-4738-A389-785B4514FD86}">
  <sheetPr>
    <tabColor rgb="FF92D050"/>
  </sheetPr>
  <dimension ref="A1:G18"/>
  <sheetViews>
    <sheetView topLeftCell="A3" workbookViewId="0">
      <selection activeCell="A15" sqref="A15"/>
    </sheetView>
  </sheetViews>
  <sheetFormatPr defaultRowHeight="14.4" x14ac:dyDescent="0.3"/>
  <cols>
    <col min="1" max="1" width="23.77734375" customWidth="1"/>
    <col min="2" max="2" width="22.77734375" customWidth="1"/>
    <col min="3" max="5" width="11.77734375" customWidth="1"/>
    <col min="6" max="6" width="9.6640625" bestFit="1" customWidth="1"/>
    <col min="7" max="7" width="13.21875" customWidth="1"/>
  </cols>
  <sheetData>
    <row r="1" spans="1:7" ht="27.6" customHeight="1" x14ac:dyDescent="0.4">
      <c r="A1" s="56" t="s">
        <v>38</v>
      </c>
      <c r="B1" s="56"/>
      <c r="C1" s="56"/>
      <c r="D1" s="56"/>
      <c r="E1" s="56"/>
      <c r="F1" s="56"/>
      <c r="G1" s="56"/>
    </row>
    <row r="2" spans="1:7" x14ac:dyDescent="0.3">
      <c r="A2" s="57" t="s">
        <v>39</v>
      </c>
      <c r="B2" s="57"/>
      <c r="C2" s="17" t="s">
        <v>9</v>
      </c>
    </row>
    <row r="3" spans="1:7" ht="18.600000000000001" customHeight="1" x14ac:dyDescent="0.3">
      <c r="A3" s="12" t="s">
        <v>5</v>
      </c>
      <c r="B3" s="12" t="s">
        <v>2</v>
      </c>
      <c r="C3" s="12" t="s">
        <v>40</v>
      </c>
      <c r="D3" s="12" t="s">
        <v>41</v>
      </c>
      <c r="E3" s="12" t="s">
        <v>42</v>
      </c>
      <c r="F3" s="12" t="s">
        <v>43</v>
      </c>
      <c r="G3" s="12" t="s">
        <v>44</v>
      </c>
    </row>
    <row r="4" spans="1:7" x14ac:dyDescent="0.3">
      <c r="A4" s="9" t="s">
        <v>53</v>
      </c>
      <c r="B4" s="10" t="s">
        <v>19</v>
      </c>
      <c r="C4" s="21" cm="1">
        <f t="array" ref="C4">IFERROR(SUMPRODUCT((COLUMN(Raw_Data!C4:N4)&lt;=MATCH($C$2,Raw_Data!$C$3:$N$3,0)+2)*Raw_Data!C4:N4),0)</f>
        <v>2624000</v>
      </c>
      <c r="D4" s="21" cm="1">
        <f t="array" ref="D4">IFERROR(SUMPRODUCT((COLUMN(Budget!C4:N4)&lt;=MATCH($C$2,Budget!$C$3:$N$3,0)+2)*Budget!C4:N4),0)</f>
        <v>2585000</v>
      </c>
      <c r="E4" s="22">
        <f>D4-C4</f>
        <v>-39000</v>
      </c>
      <c r="F4" s="23">
        <f>IFERROR((D4-C4)/D4,0)</f>
        <v>-1.5087040618955513E-2</v>
      </c>
      <c r="G4" s="19" t="str">
        <f>IF(E4&gt;0,IF(F4&gt;0.05,"On Track","Watch"),IF(F4&lt;-0.1,"Over Budget","Watch"))</f>
        <v>Watch</v>
      </c>
    </row>
    <row r="5" spans="1:7" x14ac:dyDescent="0.3">
      <c r="A5" s="9" t="s">
        <v>53</v>
      </c>
      <c r="B5" s="3" t="s">
        <v>20</v>
      </c>
      <c r="C5" s="24" cm="1">
        <f t="array" ref="C5">IFERROR(SUMPRODUCT((COLUMN(Raw_Data!C5:N5)&lt;=MATCH($C$2,Raw_Data!$C$3:$N$3,0)+2)*Raw_Data!C5:N5),0)</f>
        <v>1158000</v>
      </c>
      <c r="D5" s="24" cm="1">
        <f t="array" ref="D5">IFERROR(SUMPRODUCT((COLUMN(Budget!C5:N5)&lt;=MATCH($C$2,Budget!$C$3:$N$3,0)+2)*Budget!C5:N5),0)</f>
        <v>1142000</v>
      </c>
      <c r="E5" s="25">
        <f t="shared" ref="E5:E17" si="0">D5-C5</f>
        <v>-16000</v>
      </c>
      <c r="F5" s="26">
        <f t="shared" ref="F5:F17" si="1">IFERROR((D5-C5)/D5,0)</f>
        <v>-1.4010507880910683E-2</v>
      </c>
      <c r="G5" s="18" t="str">
        <f t="shared" ref="G5:G17" si="2">IF(E5&gt;0,IF(F5&gt;0.05,"On Track","Watch"),IF(F5&lt;-0.1,"Over Budget","Watch"))</f>
        <v>Watch</v>
      </c>
    </row>
    <row r="6" spans="1:7" x14ac:dyDescent="0.3">
      <c r="A6" s="9" t="s">
        <v>53</v>
      </c>
      <c r="B6" s="10" t="s">
        <v>21</v>
      </c>
      <c r="C6" s="21" cm="1">
        <f t="array" ref="C6">IFERROR(SUMPRODUCT((COLUMN(Raw_Data!C6:N6)&lt;=MATCH($C$2,Raw_Data!$C$3:$N$3,0)+2)*Raw_Data!C6:N6),0)</f>
        <v>753000</v>
      </c>
      <c r="D6" s="21" cm="1">
        <f t="array" ref="D6">IFERROR(SUMPRODUCT((COLUMN(Budget!C6:N6)&lt;=MATCH($C$2,Budget!$C$3:$N$3,0)+2)*Budget!C6:N6),0)</f>
        <v>738000</v>
      </c>
      <c r="E6" s="22">
        <f t="shared" si="0"/>
        <v>-15000</v>
      </c>
      <c r="F6" s="23">
        <f t="shared" si="1"/>
        <v>-2.032520325203252E-2</v>
      </c>
      <c r="G6" s="19" t="str">
        <f t="shared" si="2"/>
        <v>Watch</v>
      </c>
    </row>
    <row r="7" spans="1:7" x14ac:dyDescent="0.3">
      <c r="A7" s="9" t="s">
        <v>53</v>
      </c>
      <c r="B7" s="3" t="s">
        <v>22</v>
      </c>
      <c r="C7" s="24" cm="1">
        <f t="array" ref="C7">IFERROR(SUMPRODUCT((COLUMN(Raw_Data!C7:N7)&lt;=MATCH($C$2,Raw_Data!$C$3:$N$3,0)+2)*Raw_Data!C7:N7),0)</f>
        <v>600000</v>
      </c>
      <c r="D7" s="24" cm="1">
        <f t="array" ref="D7">IFERROR(SUMPRODUCT((COLUMN(Budget!C7:N7)&lt;=MATCH($C$2,Budget!$C$3:$N$3,0)+2)*Budget!C7:N7),0)</f>
        <v>587000</v>
      </c>
      <c r="E7" s="25">
        <f t="shared" si="0"/>
        <v>-13000</v>
      </c>
      <c r="F7" s="26">
        <f t="shared" si="1"/>
        <v>-2.2146507666098807E-2</v>
      </c>
      <c r="G7" s="18" t="str">
        <f t="shared" si="2"/>
        <v>Watch</v>
      </c>
    </row>
    <row r="8" spans="1:7" x14ac:dyDescent="0.3">
      <c r="A8" s="9" t="s">
        <v>16</v>
      </c>
      <c r="B8" s="10" t="s">
        <v>23</v>
      </c>
      <c r="C8" s="21" cm="1">
        <f t="array" ref="C8">IFERROR(SUMPRODUCT((COLUMN(Raw_Data!C8:N8)&lt;=MATCH($C$2,Raw_Data!$C$3:$N$3,0)+2)*Raw_Data!C8:N8),0)</f>
        <v>452000</v>
      </c>
      <c r="D8" s="21" cm="1">
        <f t="array" ref="D8">IFERROR(SUMPRODUCT((COLUMN(Budget!C8:N8)&lt;=MATCH($C$2,Budget!$C$3:$N$3,0)+2)*Budget!C8:N8),0)</f>
        <v>435000</v>
      </c>
      <c r="E8" s="22">
        <f t="shared" si="0"/>
        <v>-17000</v>
      </c>
      <c r="F8" s="23">
        <f t="shared" si="1"/>
        <v>-3.9080459770114942E-2</v>
      </c>
      <c r="G8" s="19" t="str">
        <f t="shared" si="2"/>
        <v>Watch</v>
      </c>
    </row>
    <row r="9" spans="1:7" x14ac:dyDescent="0.3">
      <c r="A9" s="2" t="s">
        <v>16</v>
      </c>
      <c r="B9" s="3" t="s">
        <v>24</v>
      </c>
      <c r="C9" s="24" cm="1">
        <f t="array" ref="C9">IFERROR(SUMPRODUCT((COLUMN(Raw_Data!C9:N9)&lt;=MATCH($C$2,Raw_Data!$C$3:$N$3,0)+2)*Raw_Data!C9:N9),0)</f>
        <v>183000</v>
      </c>
      <c r="D9" s="24" cm="1">
        <f t="array" ref="D9">IFERROR(SUMPRODUCT((COLUMN(Budget!C9:N9)&lt;=MATCH($C$2,Budget!$C$3:$N$3,0)+2)*Budget!C9:N9),0)</f>
        <v>177000</v>
      </c>
      <c r="E9" s="25">
        <f t="shared" si="0"/>
        <v>-6000</v>
      </c>
      <c r="F9" s="26">
        <f t="shared" si="1"/>
        <v>-3.3898305084745763E-2</v>
      </c>
      <c r="G9" s="18" t="str">
        <f t="shared" si="2"/>
        <v>Watch</v>
      </c>
    </row>
    <row r="10" spans="1:7" x14ac:dyDescent="0.3">
      <c r="A10" s="9" t="s">
        <v>16</v>
      </c>
      <c r="B10" s="10" t="s">
        <v>25</v>
      </c>
      <c r="C10" s="21" cm="1">
        <f t="array" ref="C10">IFERROR(SUMPRODUCT((COLUMN(Raw_Data!C10:N10)&lt;=MATCH($C$2,Raw_Data!$C$3:$N$3,0)+2)*Raw_Data!C10:N10),0)</f>
        <v>115500</v>
      </c>
      <c r="D10" s="21" cm="1">
        <f t="array" ref="D10">IFERROR(SUMPRODUCT((COLUMN(Budget!C10:N10)&lt;=MATCH($C$2,Budget!$C$3:$N$3,0)+2)*Budget!C10:N10),0)</f>
        <v>112500</v>
      </c>
      <c r="E10" s="22">
        <f t="shared" si="0"/>
        <v>-3000</v>
      </c>
      <c r="F10" s="23">
        <f t="shared" si="1"/>
        <v>-2.6666666666666668E-2</v>
      </c>
      <c r="G10" s="19" t="str">
        <f t="shared" si="2"/>
        <v>Watch</v>
      </c>
    </row>
    <row r="11" spans="1:7" x14ac:dyDescent="0.3">
      <c r="A11" s="2" t="s">
        <v>17</v>
      </c>
      <c r="B11" s="3" t="s">
        <v>26</v>
      </c>
      <c r="C11" s="24" cm="1">
        <f t="array" ref="C11">IFERROR(SUMPRODUCT((COLUMN(Raw_Data!C11:N11)&lt;=MATCH($C$2,Raw_Data!$C$3:$N$3,0)+2)*Raw_Data!C11:N11),0)</f>
        <v>75000</v>
      </c>
      <c r="D11" s="24" cm="1">
        <f t="array" ref="D11">IFERROR(SUMPRODUCT((COLUMN(Budget!C11:N11)&lt;=MATCH($C$2,Budget!$C$3:$N$3,0)+2)*Budget!C11:N11),0)</f>
        <v>74000</v>
      </c>
      <c r="E11" s="25">
        <f t="shared" si="0"/>
        <v>-1000</v>
      </c>
      <c r="F11" s="26">
        <f t="shared" si="1"/>
        <v>-1.3513513513513514E-2</v>
      </c>
      <c r="G11" s="18" t="str">
        <f t="shared" si="2"/>
        <v>Watch</v>
      </c>
    </row>
    <row r="12" spans="1:7" x14ac:dyDescent="0.3">
      <c r="A12" s="9" t="s">
        <v>17</v>
      </c>
      <c r="B12" s="10" t="s">
        <v>27</v>
      </c>
      <c r="C12" s="21" cm="1">
        <f t="array" ref="C12">IFERROR(SUMPRODUCT((COLUMN(Raw_Data!C12:N12)&lt;=MATCH($C$2,Raw_Data!$C$3:$N$3,0)+2)*Raw_Data!C12:N12),0)</f>
        <v>147000</v>
      </c>
      <c r="D12" s="21" cm="1">
        <f t="array" ref="D12">IFERROR(SUMPRODUCT((COLUMN(Budget!C12:N12)&lt;=MATCH($C$2,Budget!$C$3:$N$3,0)+2)*Budget!C12:N12),0)</f>
        <v>141000</v>
      </c>
      <c r="E12" s="22">
        <f t="shared" si="0"/>
        <v>-6000</v>
      </c>
      <c r="F12" s="23">
        <f t="shared" si="1"/>
        <v>-4.2553191489361701E-2</v>
      </c>
      <c r="G12" s="19" t="str">
        <f t="shared" si="2"/>
        <v>Watch</v>
      </c>
    </row>
    <row r="13" spans="1:7" x14ac:dyDescent="0.3">
      <c r="A13" s="2" t="s">
        <v>54</v>
      </c>
      <c r="B13" s="3" t="s">
        <v>28</v>
      </c>
      <c r="C13" s="24" cm="1">
        <f t="array" ref="C13">IFERROR(SUMPRODUCT((COLUMN(Raw_Data!C13:N13)&lt;=MATCH($C$2,Raw_Data!$C$3:$N$3,0)+2)*Raw_Data!C13:N13),0)</f>
        <v>334000</v>
      </c>
      <c r="D13" s="24" cm="1">
        <f t="array" ref="D13">IFERROR(SUMPRODUCT((COLUMN(Budget!C13:N13)&lt;=MATCH($C$2,Budget!$C$3:$N$3,0)+2)*Budget!C13:N13),0)</f>
        <v>310000</v>
      </c>
      <c r="E13" s="25">
        <f t="shared" si="0"/>
        <v>-24000</v>
      </c>
      <c r="F13" s="26">
        <f t="shared" si="1"/>
        <v>-7.7419354838709681E-2</v>
      </c>
      <c r="G13" s="18" t="str">
        <f t="shared" si="2"/>
        <v>Watch</v>
      </c>
    </row>
    <row r="14" spans="1:7" x14ac:dyDescent="0.3">
      <c r="A14" s="9" t="s">
        <v>54</v>
      </c>
      <c r="B14" s="10" t="s">
        <v>29</v>
      </c>
      <c r="C14" s="21" cm="1">
        <f t="array" ref="C14">IFERROR(SUMPRODUCT((COLUMN(Raw_Data!C14:N14)&lt;=MATCH($C$2,Raw_Data!$C$3:$N$3,0)+2)*Raw_Data!C14:N14),0)</f>
        <v>100000</v>
      </c>
      <c r="D14" s="21" cm="1">
        <f t="array" ref="D14">IFERROR(SUMPRODUCT((COLUMN(Budget!C14:N14)&lt;=MATCH($C$2,Budget!$C$3:$N$3,0)+2)*Budget!C14:N14),0)</f>
        <v>90000</v>
      </c>
      <c r="E14" s="22">
        <f t="shared" si="0"/>
        <v>-10000</v>
      </c>
      <c r="F14" s="23">
        <f t="shared" si="1"/>
        <v>-0.1111111111111111</v>
      </c>
      <c r="G14" s="19" t="str">
        <f t="shared" si="2"/>
        <v>Over Budget</v>
      </c>
    </row>
    <row r="15" spans="1:7" x14ac:dyDescent="0.3">
      <c r="A15" s="2" t="s">
        <v>18</v>
      </c>
      <c r="B15" s="3" t="s">
        <v>30</v>
      </c>
      <c r="C15" s="24" cm="1">
        <f t="array" ref="C15">IFERROR(SUMPRODUCT((COLUMN(Raw_Data!C15:N15)&lt;=MATCH($C$2,Raw_Data!$C$3:$N$3,0)+2)*Raw_Data!C15:N15),0)</f>
        <v>41000</v>
      </c>
      <c r="D15" s="24" cm="1">
        <f t="array" ref="D15">IFERROR(SUMPRODUCT((COLUMN(Budget!C15:N15)&lt;=MATCH($C$2,Budget!$C$3:$N$3,0)+2)*Budget!C15:N15),0)</f>
        <v>40000</v>
      </c>
      <c r="E15" s="25">
        <f t="shared" si="0"/>
        <v>-1000</v>
      </c>
      <c r="F15" s="26">
        <f t="shared" si="1"/>
        <v>-2.5000000000000001E-2</v>
      </c>
      <c r="G15" s="18" t="str">
        <f t="shared" si="2"/>
        <v>Watch</v>
      </c>
    </row>
    <row r="16" spans="1:7" x14ac:dyDescent="0.3">
      <c r="A16" s="9" t="s">
        <v>18</v>
      </c>
      <c r="B16" s="10" t="s">
        <v>31</v>
      </c>
      <c r="C16" s="21" cm="1">
        <f t="array" ref="C16">IFERROR(SUMPRODUCT((COLUMN(Raw_Data!C16:N16)&lt;=MATCH($C$2,Raw_Data!$C$3:$N$3,0)+2)*Raw_Data!C16:N16),0)</f>
        <v>39000</v>
      </c>
      <c r="D16" s="21" cm="1">
        <f t="array" ref="D16">IFERROR(SUMPRODUCT((COLUMN(Budget!C16:N16)&lt;=MATCH($C$2,Budget!$C$3:$N$3,0)+2)*Budget!C16:N16),0)</f>
        <v>36000</v>
      </c>
      <c r="E16" s="22">
        <f t="shared" si="0"/>
        <v>-3000</v>
      </c>
      <c r="F16" s="23">
        <f t="shared" si="1"/>
        <v>-8.3333333333333329E-2</v>
      </c>
      <c r="G16" s="19" t="str">
        <f t="shared" si="2"/>
        <v>Watch</v>
      </c>
    </row>
    <row r="17" spans="1:7" x14ac:dyDescent="0.3">
      <c r="A17" s="2" t="s">
        <v>18</v>
      </c>
      <c r="B17" s="3" t="s">
        <v>32</v>
      </c>
      <c r="C17" s="24" cm="1">
        <f t="array" ref="C17">IFERROR(SUMPRODUCT((COLUMN(Raw_Data!C17:N17)&lt;=MATCH($C$2,Raw_Data!$C$3:$N$3,0)+2)*Raw_Data!C17:N17),0)</f>
        <v>53000</v>
      </c>
      <c r="D17" s="24" cm="1">
        <f t="array" ref="D17">IFERROR(SUMPRODUCT((COLUMN(Budget!C17:N17)&lt;=MATCH($C$2,Budget!$C$3:$N$3,0)+2)*Budget!C17:N17),0)</f>
        <v>46000</v>
      </c>
      <c r="E17" s="25">
        <f t="shared" si="0"/>
        <v>-7000</v>
      </c>
      <c r="F17" s="26">
        <f t="shared" si="1"/>
        <v>-0.15217391304347827</v>
      </c>
      <c r="G17" s="18" t="str">
        <f t="shared" si="2"/>
        <v>Over Budget</v>
      </c>
    </row>
    <row r="18" spans="1:7" ht="15.6" x14ac:dyDescent="0.3">
      <c r="A18" s="58" t="s">
        <v>45</v>
      </c>
      <c r="B18" s="58"/>
      <c r="C18" s="29">
        <f>SUM(C4:C17)</f>
        <v>6674500</v>
      </c>
      <c r="D18" s="29">
        <f t="shared" ref="D18:E18" si="3">SUM(D4:D17)</f>
        <v>6513500</v>
      </c>
      <c r="E18" s="29">
        <f t="shared" si="3"/>
        <v>-161000</v>
      </c>
      <c r="F18" s="30">
        <f>IFERROR(E18/D18,0)</f>
        <v>-2.4717893605588393E-2</v>
      </c>
      <c r="G18" s="20" t="str">
        <f>IF(E18&gt;0,"On Track","Over Budget")</f>
        <v>Over Budget</v>
      </c>
    </row>
  </sheetData>
  <mergeCells count="3">
    <mergeCell ref="A1:G1"/>
    <mergeCell ref="A2:B2"/>
    <mergeCell ref="A18:B18"/>
  </mergeCells>
  <conditionalFormatting sqref="E4:E17">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AFBA2-B496-45C9-B79D-169D08C3D4A1}">
  <sheetPr>
    <tabColor theme="8" tint="-0.249977111117893"/>
  </sheetPr>
  <dimension ref="B1:F22"/>
  <sheetViews>
    <sheetView topLeftCell="A15" workbookViewId="0">
      <selection activeCell="H20" sqref="H20"/>
    </sheetView>
  </sheetViews>
  <sheetFormatPr defaultRowHeight="14.4" x14ac:dyDescent="0.3"/>
  <cols>
    <col min="1" max="1" width="3.44140625" customWidth="1"/>
    <col min="2" max="2" width="23" customWidth="1"/>
    <col min="3" max="6" width="15.77734375" customWidth="1"/>
  </cols>
  <sheetData>
    <row r="1" spans="2:6" ht="9.6" customHeight="1" x14ac:dyDescent="0.3"/>
    <row r="2" spans="2:6" ht="31.2" customHeight="1" x14ac:dyDescent="0.3">
      <c r="B2" s="48" t="s">
        <v>46</v>
      </c>
      <c r="C2" s="48"/>
      <c r="D2" s="48"/>
      <c r="E2" s="48"/>
      <c r="F2" s="48"/>
    </row>
    <row r="3" spans="2:6" x14ac:dyDescent="0.3">
      <c r="B3" s="49" t="str">
        <f>Variance_Engine!C2&amp;" YTD  |  SaaS R&amp;D Division  |  Finance &amp; Strategy"</f>
        <v>Jun-26 YTD  |  SaaS R&amp;D Division  |  Finance &amp; Strategy</v>
      </c>
      <c r="C3" s="49"/>
      <c r="D3" s="49"/>
      <c r="E3" s="49"/>
      <c r="F3" s="49"/>
    </row>
    <row r="4" spans="2:6" ht="8.4" customHeight="1" x14ac:dyDescent="0.3"/>
    <row r="5" spans="2:6" ht="21" customHeight="1" x14ac:dyDescent="0.3">
      <c r="C5" s="31" t="s">
        <v>47</v>
      </c>
      <c r="D5" s="33" t="s">
        <v>48</v>
      </c>
      <c r="E5" s="34" t="s">
        <v>50</v>
      </c>
      <c r="F5" s="32" t="s">
        <v>49</v>
      </c>
    </row>
    <row r="6" spans="2:6" ht="25.2" customHeight="1" x14ac:dyDescent="0.3">
      <c r="C6" s="35">
        <f>Variance_Engine!C18</f>
        <v>6674500</v>
      </c>
      <c r="D6" s="36">
        <f>Variance_Engine!D18</f>
        <v>6513500</v>
      </c>
      <c r="E6" s="37">
        <f>Variance_Engine!E18</f>
        <v>-161000</v>
      </c>
      <c r="F6" s="38">
        <f>Variance_Engine!F18</f>
        <v>-2.4717893605588393E-2</v>
      </c>
    </row>
    <row r="8" spans="2:6" x14ac:dyDescent="0.3">
      <c r="B8" s="50" t="s">
        <v>51</v>
      </c>
      <c r="C8" s="50"/>
      <c r="D8" s="50"/>
      <c r="E8" s="50"/>
      <c r="F8" s="50"/>
    </row>
    <row r="9" spans="2:6" x14ac:dyDescent="0.3">
      <c r="B9" s="39" t="s">
        <v>52</v>
      </c>
      <c r="C9" s="39" t="s">
        <v>47</v>
      </c>
      <c r="D9" s="39" t="s">
        <v>48</v>
      </c>
      <c r="E9" s="39" t="s">
        <v>50</v>
      </c>
      <c r="F9" s="39" t="s">
        <v>49</v>
      </c>
    </row>
    <row r="10" spans="2:6" x14ac:dyDescent="0.3">
      <c r="B10" s="40" t="s">
        <v>53</v>
      </c>
      <c r="C10" s="41">
        <f>SUMIF(Variance_Engine!$A$4:$A$17,"Compensation &amp; Benefits",Variance_Engine!C$4:C$17)</f>
        <v>5135000</v>
      </c>
      <c r="D10" s="41">
        <f>SUMIF(Variance_Engine!$A$4:$A$17,"Compensation &amp; Benefits",Variance_Engine!D$4:D$17)</f>
        <v>5052000</v>
      </c>
      <c r="E10" s="25">
        <f>D10-C10</f>
        <v>-83000</v>
      </c>
      <c r="F10" s="42">
        <f>IFERROR((D10-C10)/D10,0)</f>
        <v>-1.6429136975455266E-2</v>
      </c>
    </row>
    <row r="11" spans="2:6" x14ac:dyDescent="0.3">
      <c r="B11" s="40" t="s">
        <v>16</v>
      </c>
      <c r="C11" s="41">
        <f>SUMIF(Variance_Engine!$A$4:$A$17,"Cloud &amp; Infrastructure",Variance_Engine!C$4:C$17)</f>
        <v>750500</v>
      </c>
      <c r="D11" s="41">
        <f>SUMIF(Variance_Engine!$A$4:$A$17,"Cloud &amp; Infrastructure",Variance_Engine!D$4:D$17)</f>
        <v>724500</v>
      </c>
      <c r="E11" s="25">
        <f t="shared" ref="E11:E14" si="0">D11-C11</f>
        <v>-26000</v>
      </c>
      <c r="F11" s="42">
        <f t="shared" ref="F11:F14" si="1">IFERROR((D11-C11)/D11,0)</f>
        <v>-3.5886818495514144E-2</v>
      </c>
    </row>
    <row r="12" spans="2:6" x14ac:dyDescent="0.3">
      <c r="B12" s="40" t="s">
        <v>17</v>
      </c>
      <c r="C12" s="41">
        <f>SUMIF(Variance_Engine!$A$4:$A$17,"Software &amp; Licenses",Variance_Engine!C$4:C$17)</f>
        <v>222000</v>
      </c>
      <c r="D12" s="41">
        <f>SUMIF(Variance_Engine!$A$4:$A$17,"Software &amp; Licenses",Variance_Engine!D$4:D$17)</f>
        <v>215000</v>
      </c>
      <c r="E12" s="25">
        <f t="shared" si="0"/>
        <v>-7000</v>
      </c>
      <c r="F12" s="42">
        <f t="shared" si="1"/>
        <v>-3.255813953488372E-2</v>
      </c>
    </row>
    <row r="13" spans="2:6" x14ac:dyDescent="0.3">
      <c r="B13" s="40" t="s">
        <v>54</v>
      </c>
      <c r="C13" s="41">
        <f>SUMIF(Variance_Engine!$A$4:$A$17,"Contracts &amp; Vendors",Variance_Engine!C$4:C$17)</f>
        <v>434000</v>
      </c>
      <c r="D13" s="41">
        <f>SUMIF(Variance_Engine!$A$4:$A$17,"Contracts &amp; Vendors",Variance_Engine!D$4:D$17)</f>
        <v>400000</v>
      </c>
      <c r="E13" s="25">
        <f t="shared" si="0"/>
        <v>-34000</v>
      </c>
      <c r="F13" s="42">
        <f t="shared" si="1"/>
        <v>-8.5000000000000006E-2</v>
      </c>
    </row>
    <row r="14" spans="2:6" x14ac:dyDescent="0.3">
      <c r="B14" s="40" t="s">
        <v>18</v>
      </c>
      <c r="C14" s="41">
        <f>SUMIF(Variance_Engine!$A$4:$A$17,"Other R&amp;D Expenses",Variance_Engine!C$4:C$17)</f>
        <v>133000</v>
      </c>
      <c r="D14" s="41">
        <f>SUMIF(Variance_Engine!$A$4:$A$17,"Other R&amp;D Expenses",Variance_Engine!D$4:D$17)</f>
        <v>122000</v>
      </c>
      <c r="E14" s="25">
        <f t="shared" si="0"/>
        <v>-11000</v>
      </c>
      <c r="F14" s="42">
        <f t="shared" si="1"/>
        <v>-9.0163934426229511E-2</v>
      </c>
    </row>
    <row r="15" spans="2:6" x14ac:dyDescent="0.3">
      <c r="B15" s="43" t="s">
        <v>45</v>
      </c>
      <c r="C15" s="44">
        <f>SUM(C10:C14)</f>
        <v>6674500</v>
      </c>
      <c r="D15" s="44">
        <f>SUM(D10:D14)</f>
        <v>6513500</v>
      </c>
      <c r="E15" s="44">
        <f t="shared" ref="E15" si="2">D15-C15</f>
        <v>-161000</v>
      </c>
      <c r="F15" s="45">
        <f t="shared" ref="F15" si="3">IFERROR((D15-C15)/D15,0)</f>
        <v>-2.4717893605588393E-2</v>
      </c>
    </row>
    <row r="17" spans="2:6" x14ac:dyDescent="0.3">
      <c r="B17" s="50" t="s">
        <v>55</v>
      </c>
      <c r="C17" s="50"/>
      <c r="D17" s="50"/>
      <c r="E17" s="50"/>
      <c r="F17" s="50"/>
    </row>
    <row r="18" spans="2:6" ht="66.599999999999994" customHeight="1" x14ac:dyDescent="0.3">
      <c r="B18" s="46" t="s">
        <v>56</v>
      </c>
      <c r="C18" s="46"/>
      <c r="D18" s="47" t="s">
        <v>59</v>
      </c>
      <c r="E18" s="47"/>
      <c r="F18" s="47"/>
    </row>
    <row r="19" spans="2:6" ht="39.6" customHeight="1" x14ac:dyDescent="0.3">
      <c r="B19" s="46" t="s">
        <v>57</v>
      </c>
      <c r="C19" s="46"/>
      <c r="D19" s="47" t="s">
        <v>60</v>
      </c>
      <c r="E19" s="47"/>
      <c r="F19" s="47"/>
    </row>
    <row r="20" spans="2:6" ht="57" customHeight="1" x14ac:dyDescent="0.3">
      <c r="B20" s="46"/>
      <c r="C20" s="46"/>
      <c r="D20" s="47" t="s">
        <v>61</v>
      </c>
      <c r="E20" s="47"/>
      <c r="F20" s="47"/>
    </row>
    <row r="21" spans="2:6" ht="56.4" customHeight="1" x14ac:dyDescent="0.3">
      <c r="B21" s="46"/>
      <c r="C21" s="46"/>
      <c r="D21" s="47" t="s">
        <v>62</v>
      </c>
      <c r="E21" s="47"/>
      <c r="F21" s="47"/>
    </row>
    <row r="22" spans="2:6" ht="88.8" customHeight="1" x14ac:dyDescent="0.3">
      <c r="B22" s="46" t="s">
        <v>58</v>
      </c>
      <c r="C22" s="46"/>
      <c r="D22" s="47" t="s">
        <v>63</v>
      </c>
      <c r="E22" s="47"/>
      <c r="F22" s="47"/>
    </row>
  </sheetData>
  <mergeCells count="12">
    <mergeCell ref="B2:F2"/>
    <mergeCell ref="B3:F3"/>
    <mergeCell ref="B8:F8"/>
    <mergeCell ref="B17:F17"/>
    <mergeCell ref="B18:C18"/>
    <mergeCell ref="B22:C22"/>
    <mergeCell ref="D18:F18"/>
    <mergeCell ref="D19:F19"/>
    <mergeCell ref="D22:F22"/>
    <mergeCell ref="D20:F20"/>
    <mergeCell ref="B19:C21"/>
    <mergeCell ref="D21:F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Pivot_Analysis</vt:lpstr>
      <vt:lpstr>Budget</vt:lpstr>
      <vt:lpstr>Variance_Engine</vt:lpstr>
      <vt:lpstr>Executive_Summary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Teddy Fabrizio Baeny Vargas</dc:creator>
  <cp:lastModifiedBy>Teddy Fabrizio Baeny Vargas</cp:lastModifiedBy>
  <dcterms:created xsi:type="dcterms:W3CDTF">2026-06-08T16:24:22Z</dcterms:created>
  <dcterms:modified xsi:type="dcterms:W3CDTF">2026-07-03T03:58:46Z</dcterms:modified>
</cp:coreProperties>
</file>